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</sheets>
  <definedNames>
    <definedName name="_xlnm._FilterDatabase" localSheetId="0" hidden="1">'KPI Dashboard'!$A$3:$T$3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F3864"/>
      <sz val="9"/>
    </font>
    <font>
      <name val="Arial"/>
      <color rgb="00000000"/>
      <sz val="10"/>
    </font>
    <font>
      <name val="Arial"/>
      <b val="1"/>
      <color rgb="00FFFFFF"/>
      <sz val="9"/>
    </font>
    <font>
      <name val="Arial"/>
      <b val="1"/>
      <color rgb="00534AB7"/>
      <sz val="10"/>
    </font>
    <font>
      <name val="Arial"/>
      <sz val="9"/>
    </font>
    <font>
      <name val="Arial"/>
      <b val="1"/>
      <sz val="14"/>
    </font>
  </fonts>
  <fills count="9">
    <fill>
      <patternFill/>
    </fill>
    <fill>
      <patternFill patternType="gray125"/>
    </fill>
    <fill>
      <patternFill patternType="solid">
        <fgColor rgb="003C348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DDEEFF"/>
      </patternFill>
    </fill>
    <fill>
      <patternFill patternType="solid">
        <fgColor rgb="00E8E4F8"/>
      </patternFill>
    </fill>
    <fill>
      <patternFill patternType="solid">
        <fgColor rgb="00F0F0F8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ont>
        <name val="Arial"/>
        <b val="1"/>
        <color rgb="00375623"/>
        <sz val="9"/>
      </font>
      <fill>
        <patternFill patternType="solid">
          <fgColor rgb="00E2EFDA"/>
        </patternFill>
      </fill>
    </dxf>
    <dxf>
      <font>
        <name val="Arial"/>
        <b val="1"/>
        <color rgb="009C0006"/>
        <sz val="9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34AB7"/>
    <outlinePr summaryBelow="1" summaryRight="1"/>
    <pageSetUpPr/>
  </sheetPr>
  <dimension ref="A1:T1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9" customWidth="1" min="3" max="3"/>
    <col width="9" customWidth="1" min="4" max="4"/>
    <col width="12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9" customWidth="1" min="18" max="18"/>
    <col width="13" customWidth="1" min="19" max="19"/>
    <col width="7" customWidth="1" min="20" max="20"/>
    <col width="7" customWidth="1" min="21" max="21"/>
  </cols>
  <sheetData>
    <row r="1" ht="36" customHeight="1">
      <c r="A1" s="1" t="inlineStr">
        <is>
          <t>KPI Performance Dashboard</t>
        </is>
      </c>
    </row>
    <row r="2" ht="18" customHeight="1">
      <c r="A2" s="2" t="inlineStr">
        <is>
          <t>Department:</t>
        </is>
      </c>
      <c r="B2" s="3" t="inlineStr"/>
      <c r="C2" s="2" t="inlineStr">
        <is>
          <t>Period:</t>
        </is>
      </c>
      <c r="D2" s="3" t="inlineStr"/>
      <c r="E2" s="2" t="inlineStr">
        <is>
          <t>Frequency:</t>
        </is>
      </c>
      <c r="F2" s="3" t="inlineStr"/>
      <c r="G2" s="2" t="inlineStr">
        <is>
          <t>Owner:</t>
        </is>
      </c>
      <c r="H2" s="3" t="inlineStr"/>
      <c r="I2" s="2" t="inlineStr">
        <is>
          <t>Updated:</t>
        </is>
      </c>
      <c r="J2" s="3" t="inlineStr"/>
    </row>
    <row r="3" ht="18" customHeight="1">
      <c r="A3" s="4" t="inlineStr">
        <is>
          <t>#</t>
        </is>
      </c>
      <c r="B3" s="4" t="inlineStr">
        <is>
          <t>KPI Name</t>
        </is>
      </c>
      <c r="C3" s="4" t="inlineStr">
        <is>
          <t>Unit</t>
        </is>
      </c>
      <c r="D3" s="4" t="inlineStr">
        <is>
          <t>Target</t>
        </is>
      </c>
      <c r="E3" s="4" t="inlineStr">
        <is>
          <t>Direction</t>
        </is>
      </c>
      <c r="F3" s="4" t="inlineStr">
        <is>
          <t>Jan</t>
        </is>
      </c>
      <c r="G3" s="4" t="inlineStr">
        <is>
          <t>Feb</t>
        </is>
      </c>
      <c r="H3" s="4" t="inlineStr">
        <is>
          <t>Mar</t>
        </is>
      </c>
      <c r="I3" s="4" t="inlineStr">
        <is>
          <t>Apr</t>
        </is>
      </c>
      <c r="J3" s="4" t="inlineStr">
        <is>
          <t>May</t>
        </is>
      </c>
      <c r="K3" s="4" t="inlineStr">
        <is>
          <t>Jun</t>
        </is>
      </c>
      <c r="L3" s="4" t="inlineStr">
        <is>
          <t>Jul</t>
        </is>
      </c>
      <c r="M3" s="4" t="inlineStr">
        <is>
          <t>Aug</t>
        </is>
      </c>
      <c r="N3" s="4" t="inlineStr">
        <is>
          <t>Sep</t>
        </is>
      </c>
      <c r="O3" s="4" t="inlineStr">
        <is>
          <t>Oct</t>
        </is>
      </c>
      <c r="P3" s="4" t="inlineStr">
        <is>
          <t>Nov</t>
        </is>
      </c>
      <c r="Q3" s="4" t="inlineStr">
        <is>
          <t>Dec</t>
        </is>
      </c>
      <c r="R3" s="4" t="inlineStr">
        <is>
          <t>YTD Avg</t>
        </is>
      </c>
      <c r="S3" s="4" t="inlineStr">
        <is>
          <t>Status</t>
        </is>
      </c>
      <c r="T3" s="4" t="inlineStr">
        <is>
          <t>Trend</t>
        </is>
      </c>
    </row>
    <row r="4" ht="20" customHeight="1">
      <c r="A4" s="5" t="n">
        <v>1</v>
      </c>
      <c r="B4" s="6" t="inlineStr">
        <is>
          <t>Customer Satisfaction (NPS)</t>
        </is>
      </c>
      <c r="C4" s="7" t="inlineStr">
        <is>
          <t>Score</t>
        </is>
      </c>
      <c r="D4" s="8" t="n">
        <v>50</v>
      </c>
      <c r="E4" s="7" t="inlineStr">
        <is>
          <t>Higher is better</t>
        </is>
      </c>
      <c r="F4" s="9" t="inlineStr"/>
      <c r="G4" s="9" t="inlineStr"/>
      <c r="H4" s="9" t="inlineStr"/>
      <c r="I4" s="9" t="inlineStr"/>
      <c r="J4" s="9" t="inlineStr"/>
      <c r="K4" s="9" t="inlineStr"/>
      <c r="L4" s="9" t="inlineStr"/>
      <c r="M4" s="9" t="inlineStr"/>
      <c r="N4" s="9" t="inlineStr"/>
      <c r="O4" s="9" t="inlineStr"/>
      <c r="P4" s="9" t="inlineStr"/>
      <c r="Q4" s="9" t="inlineStr"/>
      <c r="R4" s="10">
        <f>IFERROR(AVERAGEIF(F4:Q4,"&gt;0"),"—")</f>
        <v/>
      </c>
      <c r="S4" s="11">
        <f>IF(R4="—","—",IF(AND(ISNUMBER(D4),E4="Higher is better",R4&gt;=D4),"✓ On Track",IF(AND(ISNUMBER(D4),E4="Lower is better",R4&lt;=D4),"✓ On Track",IF(AND(ISNUMBER(D4),E4="On target",ABS(R4-D4)/MAX(D4,1)&lt;=0.05),"✓ On Track","✗ Off Track"))))</f>
        <v/>
      </c>
      <c r="T4" s="12">
        <f>IFERROR(IF(Q4=0,"—",IF(Q4&gt;P4,"↑",IF(Q4&lt;P4,"↓","→"))),"—")</f>
        <v/>
      </c>
    </row>
    <row r="5" ht="20" customHeight="1">
      <c r="A5" s="5" t="n">
        <v>2</v>
      </c>
      <c r="B5" s="13" t="inlineStr">
        <is>
          <t>On-Time Delivery</t>
        </is>
      </c>
      <c r="C5" s="14" t="inlineStr">
        <is>
          <t>%</t>
        </is>
      </c>
      <c r="D5" s="8" t="n">
        <v>95</v>
      </c>
      <c r="E5" s="14" t="inlineStr">
        <is>
          <t>Higher is better</t>
        </is>
      </c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  <c r="P5" s="9" t="inlineStr"/>
      <c r="Q5" s="9" t="inlineStr"/>
      <c r="R5" s="10">
        <f>IFERROR(AVERAGEIF(F5:Q5,"&gt;0"),"—")</f>
        <v/>
      </c>
      <c r="S5" s="11">
        <f>IF(R5="—","—",IF(AND(ISNUMBER(D5),E5="Higher is better",R5&gt;=D5),"✓ On Track",IF(AND(ISNUMBER(D5),E5="Lower is better",R5&lt;=D5),"✓ On Track",IF(AND(ISNUMBER(D5),E5="On target",ABS(R5-D5)/MAX(D5,1)&lt;=0.05),"✓ On Track","✗ Off Track"))))</f>
        <v/>
      </c>
      <c r="T5" s="12">
        <f>IFERROR(IF(Q5=0,"—",IF(Q5&gt;P5,"↑",IF(Q5&lt;P5,"↓","→"))),"—")</f>
        <v/>
      </c>
    </row>
    <row r="6" ht="20" customHeight="1">
      <c r="A6" s="5" t="n">
        <v>3</v>
      </c>
      <c r="B6" s="6" t="inlineStr">
        <is>
          <t>First Time Quality</t>
        </is>
      </c>
      <c r="C6" s="7" t="inlineStr">
        <is>
          <t>%</t>
        </is>
      </c>
      <c r="D6" s="8" t="n">
        <v>99</v>
      </c>
      <c r="E6" s="7" t="inlineStr">
        <is>
          <t>Higher is better</t>
        </is>
      </c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10">
        <f>IFERROR(AVERAGEIF(F6:Q6,"&gt;0"),"—")</f>
        <v/>
      </c>
      <c r="S6" s="11">
        <f>IF(R6="—","—",IF(AND(ISNUMBER(D6),E6="Higher is better",R6&gt;=D6),"✓ On Track",IF(AND(ISNUMBER(D6),E6="Lower is better",R6&lt;=D6),"✓ On Track",IF(AND(ISNUMBER(D6),E6="On target",ABS(R6-D6)/MAX(D6,1)&lt;=0.05),"✓ On Track","✗ Off Track"))))</f>
        <v/>
      </c>
      <c r="T6" s="12">
        <f>IFERROR(IF(Q6=0,"—",IF(Q6&gt;P6,"↑",IF(Q6&lt;P6,"↓","→"))),"—")</f>
        <v/>
      </c>
    </row>
    <row r="7" ht="20" customHeight="1">
      <c r="A7" s="5" t="n">
        <v>4</v>
      </c>
      <c r="B7" s="13" t="inlineStr">
        <is>
          <t>Defect Rate</t>
        </is>
      </c>
      <c r="C7" s="14" t="inlineStr">
        <is>
          <t>PPM</t>
        </is>
      </c>
      <c r="D7" s="8" t="n">
        <v>500</v>
      </c>
      <c r="E7" s="14" t="inlineStr">
        <is>
          <t>Lower is better</t>
        </is>
      </c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10">
        <f>IFERROR(AVERAGEIF(F7:Q7,"&gt;0"),"—")</f>
        <v/>
      </c>
      <c r="S7" s="11">
        <f>IF(R7="—","—",IF(AND(ISNUMBER(D7),E7="Higher is better",R7&gt;=D7),"✓ On Track",IF(AND(ISNUMBER(D7),E7="Lower is better",R7&lt;=D7),"✓ On Track",IF(AND(ISNUMBER(D7),E7="On target",ABS(R7-D7)/MAX(D7,1)&lt;=0.05),"✓ On Track","✗ Off Track"))))</f>
        <v/>
      </c>
      <c r="T7" s="12">
        <f>IFERROR(IF(Q7=0,"—",IF(Q7&gt;P7,"↑",IF(Q7&lt;P7,"↓","→"))),"—")</f>
        <v/>
      </c>
    </row>
    <row r="8" ht="20" customHeight="1">
      <c r="A8" s="5" t="n">
        <v>5</v>
      </c>
      <c r="B8" s="6" t="inlineStr">
        <is>
          <t>Process Lead Time</t>
        </is>
      </c>
      <c r="C8" s="7" t="inlineStr">
        <is>
          <t>Days</t>
        </is>
      </c>
      <c r="D8" s="8" t="n">
        <v>5</v>
      </c>
      <c r="E8" s="7" t="inlineStr">
        <is>
          <t>Lower is better</t>
        </is>
      </c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10">
        <f>IFERROR(AVERAGEIF(F8:Q8,"&gt;0"),"—")</f>
        <v/>
      </c>
      <c r="S8" s="11">
        <f>IF(R8="—","—",IF(AND(ISNUMBER(D8),E8="Higher is better",R8&gt;=D8),"✓ On Track",IF(AND(ISNUMBER(D8),E8="Lower is better",R8&lt;=D8),"✓ On Track",IF(AND(ISNUMBER(D8),E8="On target",ABS(R8-D8)/MAX(D8,1)&lt;=0.05),"✓ On Track","✗ Off Track"))))</f>
        <v/>
      </c>
      <c r="T8" s="12">
        <f>IFERROR(IF(Q8=0,"—",IF(Q8&gt;P8,"↑",IF(Q8&lt;P8,"↓","→"))),"—")</f>
        <v/>
      </c>
    </row>
    <row r="9" ht="20" customHeight="1">
      <c r="A9" s="5" t="n">
        <v>6</v>
      </c>
      <c r="B9" s="13" t="inlineStr">
        <is>
          <t>Employee Engagement</t>
        </is>
      </c>
      <c r="C9" s="14" t="inlineStr">
        <is>
          <t>Score</t>
        </is>
      </c>
      <c r="D9" s="8" t="n">
        <v>75</v>
      </c>
      <c r="E9" s="14" t="inlineStr">
        <is>
          <t>Higher is better</t>
        </is>
      </c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10">
        <f>IFERROR(AVERAGEIF(F9:Q9,"&gt;0"),"—")</f>
        <v/>
      </c>
      <c r="S9" s="11">
        <f>IF(R9="—","—",IF(AND(ISNUMBER(D9),E9="Higher is better",R9&gt;=D9),"✓ On Track",IF(AND(ISNUMBER(D9),E9="Lower is better",R9&lt;=D9),"✓ On Track",IF(AND(ISNUMBER(D9),E9="On target",ABS(R9-D9)/MAX(D9,1)&lt;=0.05),"✓ On Track","✗ Off Track"))))</f>
        <v/>
      </c>
      <c r="T9" s="12">
        <f>IFERROR(IF(Q9=0,"—",IF(Q9&gt;P9,"↑",IF(Q9&lt;P9,"↓","→"))),"—")</f>
        <v/>
      </c>
    </row>
    <row r="10" ht="20" customHeight="1">
      <c r="A10" s="5" t="n">
        <v>7</v>
      </c>
      <c r="B10" s="6" t="inlineStr">
        <is>
          <t>Safety Incidents</t>
        </is>
      </c>
      <c r="C10" s="7" t="inlineStr">
        <is>
          <t>#</t>
        </is>
      </c>
      <c r="D10" s="8" t="n">
        <v>0</v>
      </c>
      <c r="E10" s="7" t="inlineStr">
        <is>
          <t>Lower is better</t>
        </is>
      </c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10">
        <f>IFERROR(AVERAGEIF(F10:Q10,"&gt;0"),"—")</f>
        <v/>
      </c>
      <c r="S10" s="11">
        <f>IF(R10="—","—",IF(AND(ISNUMBER(D10),E10="Higher is better",R10&gt;=D10),"✓ On Track",IF(AND(ISNUMBER(D10),E10="Lower is better",R10&lt;=D10),"✓ On Track",IF(AND(ISNUMBER(D10),E10="On target",ABS(R10-D10)/MAX(D10,1)&lt;=0.05),"✓ On Track","✗ Off Track"))))</f>
        <v/>
      </c>
      <c r="T10" s="12">
        <f>IFERROR(IF(Q10=0,"—",IF(Q10&gt;P10,"↑",IF(Q10&lt;P10,"↓","→"))),"—")</f>
        <v/>
      </c>
    </row>
    <row r="11" ht="20" customHeight="1">
      <c r="A11" s="5" t="n">
        <v>8</v>
      </c>
      <c r="B11" s="13" t="inlineStr">
        <is>
          <t>Revenue vs Plan</t>
        </is>
      </c>
      <c r="C11" s="14" t="inlineStr">
        <is>
          <t>%</t>
        </is>
      </c>
      <c r="D11" s="8" t="n">
        <v>100</v>
      </c>
      <c r="E11" s="14" t="inlineStr">
        <is>
          <t>On target</t>
        </is>
      </c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10">
        <f>IFERROR(AVERAGEIF(F11:Q11,"&gt;0"),"—")</f>
        <v/>
      </c>
      <c r="S11" s="11">
        <f>IF(R11="—","—",IF(AND(ISNUMBER(D11),E11="Higher is better",R11&gt;=D11),"✓ On Track",IF(AND(ISNUMBER(D11),E11="Lower is better",R11&lt;=D11),"✓ On Track",IF(AND(ISNUMBER(D11),E11="On target",ABS(R11-D11)/MAX(D11,1)&lt;=0.05),"✓ On Track","✗ Off Track"))))</f>
        <v/>
      </c>
      <c r="T11" s="12">
        <f>IFERROR(IF(Q11=0,"—",IF(Q11&gt;P11,"↑",IF(Q11&lt;P11,"↓","→"))),"—")</f>
        <v/>
      </c>
    </row>
    <row r="12" ht="20" customHeight="1">
      <c r="A12" s="5" t="n">
        <v>9</v>
      </c>
      <c r="B12" s="6" t="inlineStr">
        <is>
          <t>Cost per Unit</t>
        </is>
      </c>
      <c r="C12" s="7" t="inlineStr">
        <is>
          <t>$</t>
        </is>
      </c>
      <c r="D12" s="8" t="inlineStr"/>
      <c r="E12" s="7" t="inlineStr">
        <is>
          <t>Lower is better</t>
        </is>
      </c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  <c r="P12" s="9" t="inlineStr"/>
      <c r="Q12" s="9" t="inlineStr"/>
      <c r="R12" s="10">
        <f>IFERROR(AVERAGEIF(F12:Q12,"&gt;0"),"—")</f>
        <v/>
      </c>
      <c r="S12" s="11">
        <f>IF(R12="—","—",IF(AND(ISNUMBER(D12),E12="Higher is better",R12&gt;=D12),"✓ On Track",IF(AND(ISNUMBER(D12),E12="Lower is better",R12&lt;=D12),"✓ On Track",IF(AND(ISNUMBER(D12),E12="On target",ABS(R12-D12)/MAX(D12,1)&lt;=0.05),"✓ On Track","✗ Off Track"))))</f>
        <v/>
      </c>
      <c r="T12" s="12">
        <f>IFERROR(IF(Q12=0,"—",IF(Q12&gt;P12,"↑",IF(Q12&lt;P12,"↓","→"))),"—")</f>
        <v/>
      </c>
    </row>
    <row r="13" ht="20" customHeight="1">
      <c r="A13" s="5" t="n">
        <v>10</v>
      </c>
      <c r="B13" s="13" t="inlineStr">
        <is>
          <t>Productivity</t>
        </is>
      </c>
      <c r="C13" s="14" t="inlineStr">
        <is>
          <t>Units/hr</t>
        </is>
      </c>
      <c r="D13" s="8" t="n">
        <v>85</v>
      </c>
      <c r="E13" s="14" t="inlineStr">
        <is>
          <t>Higher is better</t>
        </is>
      </c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  <c r="P13" s="9" t="inlineStr"/>
      <c r="Q13" s="9" t="inlineStr"/>
      <c r="R13" s="10">
        <f>IFERROR(AVERAGEIF(F13:Q13,"&gt;0"),"—")</f>
        <v/>
      </c>
      <c r="S13" s="11">
        <f>IF(R13="—","—",IF(AND(ISNUMBER(D13),E13="Higher is better",R13&gt;=D13),"✓ On Track",IF(AND(ISNUMBER(D13),E13="Lower is better",R13&lt;=D13),"✓ On Track",IF(AND(ISNUMBER(D13),E13="On target",ABS(R13-D13)/MAX(D13,1)&lt;=0.05),"✓ On Track","✗ Off Track"))))</f>
        <v/>
      </c>
      <c r="T13" s="12">
        <f>IFERROR(IF(Q13=0,"—",IF(Q13&gt;P13,"↑",IF(Q13&lt;P13,"↓","→"))),"—")</f>
        <v/>
      </c>
    </row>
  </sheetData>
  <autoFilter ref="A3:T3"/>
  <mergeCells count="1">
    <mergeCell ref="A1:T1"/>
  </mergeCells>
  <conditionalFormatting sqref="S4:S13">
    <cfRule type="cellIs" priority="1" operator="containsText" dxfId="0">
      <formula>"On Track"</formula>
    </cfRule>
    <cfRule type="cellIs" priority="2" operator="containsText" dxfId="1">
      <formula>"Off Track"</formula>
    </cfRule>
  </conditionalFormatting>
  <conditionalFormatting sqref="F4:Q13">
    <cfRule type="dataBar" priority="3">
      <dataBar>
        <cfvo type="min" val="0"/>
        <cfvo type="max" val="100"/>
        <color rgb="002E75B6"/>
      </dataBar>
    </cfRule>
  </conditionalFormatting>
  <dataValidations count="1">
    <dataValidation sqref="E4 E5 E6 E7 E8 E9 E10 E11 E12 E13" showDropDown="0" showInputMessage="0" showErrorMessage="0" allowBlank="0" type="list">
      <formula1>"Higher is better,Lower is better,On target"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2026-06-16T05:54:50Z</dcterms:created>
  <dcterms:modified xmlns:dcterms="http://purl.org/dc/terms/" xmlns:xsi="http://www.w3.org/2001/XMLSchema-instance" xsi:type="dcterms:W3CDTF">2026-06-16T05:54:50Z</dcterms:modified>
</cp:coreProperties>
</file>