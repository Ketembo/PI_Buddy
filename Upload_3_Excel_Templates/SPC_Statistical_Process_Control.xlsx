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 — Statistical Process Co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375623"/>
    </font>
    <font>
      <name val="Arial"/>
      <b val="1"/>
      <color rgb="00BA7517"/>
    </font>
    <font>
      <name val="Arial"/>
      <b val="1"/>
      <color rgb="00375623"/>
      <sz val="12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185FA5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0C447C"/>
      </patternFill>
    </fill>
    <fill>
      <patternFill patternType="solid">
        <fgColor rgb="00F8F8F6"/>
      </patternFill>
    </fill>
    <fill>
      <patternFill patternType="solid">
        <fgColor rgb="00EEF5FC"/>
      </patternFill>
    </fill>
    <fill>
      <patternFill patternType="solid">
        <fgColor rgb="00E2EFDA"/>
      </patternFill>
    </fill>
    <fill>
      <patternFill patternType="solid">
        <fgColor rgb="00FFF3D6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6F1FB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</cols>
  <sheetData>
    <row r="1" ht="34" customHeight="1">
      <c r="A1" s="1" t="inlineStr">
        <is>
          <t>SPC — Statistical Process Control</t>
        </is>
      </c>
    </row>
    <row r="2" ht="15" customHeight="1">
      <c r="A2" s="2" t="inlineStr">
        <is>
          <t>Monitor process outputs using control charts to detect changes in behaviour before they produce defects</t>
        </is>
      </c>
    </row>
    <row r="3" ht="18" customHeight="1">
      <c r="A3" s="3" t="inlineStr">
        <is>
          <t>Process / Characteristic:</t>
        </is>
      </c>
      <c r="B3" s="4" t="inlineStr"/>
      <c r="C3" s="4" t="inlineStr"/>
      <c r="D3" s="3" t="inlineStr">
        <is>
          <t>Sample Size (n):</t>
        </is>
      </c>
      <c r="E3" s="4" t="inlineStr"/>
      <c r="F3" s="4" t="inlineStr"/>
      <c r="G3" s="3" t="inlineStr">
        <is>
          <t>Analyst: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DATA COLLECTION</t>
        </is>
      </c>
    </row>
    <row r="5" ht="28" customHeight="1">
      <c r="A5" s="6" t="inlineStr">
        <is>
          <t>Collect at least 20-25 subgroups of data before calculating control limits. More data = more reliable limits.</t>
        </is>
      </c>
    </row>
    <row r="6" ht="28" customHeight="1">
      <c r="A6" s="7" t="inlineStr">
        <is>
          <t>Subgroup #</t>
        </is>
      </c>
      <c r="B6" s="7" t="inlineStr">
        <is>
          <t>Date/Time</t>
        </is>
      </c>
      <c r="C6" s="7" t="inlineStr">
        <is>
          <t>Measurement 1</t>
        </is>
      </c>
      <c r="D6" s="7" t="inlineStr">
        <is>
          <t>Measurement 2</t>
        </is>
      </c>
      <c r="E6" s="7" t="inlineStr">
        <is>
          <t>Measurement 3</t>
        </is>
      </c>
      <c r="F6" s="7" t="inlineStr">
        <is>
          <t>Measurement 4</t>
        </is>
      </c>
      <c r="G6" s="7" t="inlineStr">
        <is>
          <t>Measurement 5</t>
        </is>
      </c>
      <c r="H6" s="7" t="inlineStr">
        <is>
          <t>Subgroup Mean (X̄)</t>
        </is>
      </c>
      <c r="I6" s="7" t="inlineStr">
        <is>
          <t>Range (R)</t>
        </is>
      </c>
      <c r="J6" s="7" t="inlineStr">
        <is>
          <t>UCL Met?</t>
        </is>
      </c>
    </row>
    <row r="7" ht="20" customHeight="1">
      <c r="A7" s="8" t="n">
        <v>1</v>
      </c>
      <c r="B7" s="9" t="inlineStr"/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1">
        <f>IFERROR(AVERAGE(C7:G7),"")</f>
        <v/>
      </c>
      <c r="I7" s="12">
        <f>IFERROR(MAX(C7:G7)-MIN(C7:G7),"")</f>
        <v/>
      </c>
      <c r="J7" s="13" t="inlineStr"/>
    </row>
    <row r="8" ht="20" customHeight="1">
      <c r="A8" s="8" t="n">
        <v>2</v>
      </c>
      <c r="B8" s="14" t="inlineStr"/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1">
        <f>IFERROR(AVERAGE(C8:G8),"")</f>
        <v/>
      </c>
      <c r="I8" s="12">
        <f>IFERROR(MAX(C8:G8)-MIN(C8:G8),"")</f>
        <v/>
      </c>
      <c r="J8" s="13" t="inlineStr"/>
    </row>
    <row r="9" ht="20" customHeight="1">
      <c r="A9" s="8" t="n">
        <v>3</v>
      </c>
      <c r="B9" s="9" t="inlineStr"/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1">
        <f>IFERROR(AVERAGE(C9:G9),"")</f>
        <v/>
      </c>
      <c r="I9" s="12">
        <f>IFERROR(MAX(C9:G9)-MIN(C9:G9),"")</f>
        <v/>
      </c>
      <c r="J9" s="13" t="inlineStr"/>
    </row>
    <row r="10" ht="20" customHeight="1">
      <c r="A10" s="8" t="n">
        <v>4</v>
      </c>
      <c r="B10" s="14" t="inlineStr"/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1">
        <f>IFERROR(AVERAGE(C10:G10),"")</f>
        <v/>
      </c>
      <c r="I10" s="12">
        <f>IFERROR(MAX(C10:G10)-MIN(C10:G10),"")</f>
        <v/>
      </c>
      <c r="J10" s="13" t="inlineStr"/>
    </row>
    <row r="11" ht="20" customHeight="1">
      <c r="A11" s="8" t="n">
        <v>5</v>
      </c>
      <c r="B11" s="9" t="inlineStr"/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1">
        <f>IFERROR(AVERAGE(C11:G11),"")</f>
        <v/>
      </c>
      <c r="I11" s="12">
        <f>IFERROR(MAX(C11:G11)-MIN(C11:G11),"")</f>
        <v/>
      </c>
      <c r="J11" s="13" t="inlineStr"/>
    </row>
    <row r="12" ht="20" customHeight="1">
      <c r="A12" s="8" t="n">
        <v>6</v>
      </c>
      <c r="B12" s="14" t="inlineStr"/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1">
        <f>IFERROR(AVERAGE(C12:G12),"")</f>
        <v/>
      </c>
      <c r="I12" s="12">
        <f>IFERROR(MAX(C12:G12)-MIN(C12:G12),"")</f>
        <v/>
      </c>
      <c r="J12" s="13" t="inlineStr"/>
    </row>
    <row r="13" ht="20" customHeight="1">
      <c r="A13" s="8" t="n">
        <v>7</v>
      </c>
      <c r="B13" s="9" t="inlineStr"/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1">
        <f>IFERROR(AVERAGE(C13:G13),"")</f>
        <v/>
      </c>
      <c r="I13" s="12">
        <f>IFERROR(MAX(C13:G13)-MIN(C13:G13),"")</f>
        <v/>
      </c>
      <c r="J13" s="13" t="inlineStr"/>
    </row>
    <row r="14" ht="20" customHeight="1">
      <c r="A14" s="8" t="n">
        <v>8</v>
      </c>
      <c r="B14" s="14" t="inlineStr"/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1">
        <f>IFERROR(AVERAGE(C14:G14),"")</f>
        <v/>
      </c>
      <c r="I14" s="12">
        <f>IFERROR(MAX(C14:G14)-MIN(C14:G14),"")</f>
        <v/>
      </c>
      <c r="J14" s="13" t="inlineStr"/>
    </row>
    <row r="15" ht="20" customHeight="1">
      <c r="A15" s="8" t="n">
        <v>9</v>
      </c>
      <c r="B15" s="9" t="inlineStr"/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1">
        <f>IFERROR(AVERAGE(C15:G15),"")</f>
        <v/>
      </c>
      <c r="I15" s="12">
        <f>IFERROR(MAX(C15:G15)-MIN(C15:G15),"")</f>
        <v/>
      </c>
      <c r="J15" s="13" t="inlineStr"/>
    </row>
    <row r="16" ht="20" customHeight="1">
      <c r="A16" s="8" t="n">
        <v>10</v>
      </c>
      <c r="B16" s="14" t="inlineStr"/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1">
        <f>IFERROR(AVERAGE(C16:G16),"")</f>
        <v/>
      </c>
      <c r="I16" s="12">
        <f>IFERROR(MAX(C16:G16)-MIN(C16:G16),"")</f>
        <v/>
      </c>
      <c r="J16" s="13" t="inlineStr"/>
    </row>
    <row r="17" ht="20" customHeight="1">
      <c r="A17" s="8" t="n">
        <v>11</v>
      </c>
      <c r="B17" s="9" t="inlineStr"/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1">
        <f>IFERROR(AVERAGE(C17:G17),"")</f>
        <v/>
      </c>
      <c r="I17" s="12">
        <f>IFERROR(MAX(C17:G17)-MIN(C17:G17),"")</f>
        <v/>
      </c>
      <c r="J17" s="13" t="inlineStr"/>
    </row>
    <row r="18" ht="20" customHeight="1">
      <c r="A18" s="8" t="n">
        <v>12</v>
      </c>
      <c r="B18" s="14" t="inlineStr"/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1">
        <f>IFERROR(AVERAGE(C18:G18),"")</f>
        <v/>
      </c>
      <c r="I18" s="12">
        <f>IFERROR(MAX(C18:G18)-MIN(C18:G18),"")</f>
        <v/>
      </c>
      <c r="J18" s="13" t="inlineStr"/>
    </row>
    <row r="19" ht="20" customHeight="1">
      <c r="A19" s="8" t="n">
        <v>13</v>
      </c>
      <c r="B19" s="9" t="inlineStr"/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1">
        <f>IFERROR(AVERAGE(C19:G19),"")</f>
        <v/>
      </c>
      <c r="I19" s="12">
        <f>IFERROR(MAX(C19:G19)-MIN(C19:G19),"")</f>
        <v/>
      </c>
      <c r="J19" s="13" t="inlineStr"/>
    </row>
    <row r="20" ht="20" customHeight="1">
      <c r="A20" s="8" t="n">
        <v>14</v>
      </c>
      <c r="B20" s="14" t="inlineStr"/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1">
        <f>IFERROR(AVERAGE(C20:G20),"")</f>
        <v/>
      </c>
      <c r="I20" s="12">
        <f>IFERROR(MAX(C20:G20)-MIN(C20:G20),"")</f>
        <v/>
      </c>
      <c r="J20" s="13" t="inlineStr"/>
    </row>
    <row r="21" ht="20" customHeight="1">
      <c r="A21" s="8" t="n">
        <v>15</v>
      </c>
      <c r="B21" s="9" t="inlineStr"/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1">
        <f>IFERROR(AVERAGE(C21:G21),"")</f>
        <v/>
      </c>
      <c r="I21" s="12">
        <f>IFERROR(MAX(C21:G21)-MIN(C21:G21),"")</f>
        <v/>
      </c>
      <c r="J21" s="13" t="inlineStr"/>
    </row>
    <row r="22" ht="20" customHeight="1">
      <c r="A22" s="8" t="n">
        <v>16</v>
      </c>
      <c r="B22" s="14" t="inlineStr"/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1">
        <f>IFERROR(AVERAGE(C22:G22),"")</f>
        <v/>
      </c>
      <c r="I22" s="12">
        <f>IFERROR(MAX(C22:G22)-MIN(C22:G22),"")</f>
        <v/>
      </c>
      <c r="J22" s="13" t="inlineStr"/>
    </row>
    <row r="23" ht="20" customHeight="1">
      <c r="A23" s="8" t="n">
        <v>17</v>
      </c>
      <c r="B23" s="9" t="inlineStr"/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1">
        <f>IFERROR(AVERAGE(C23:G23),"")</f>
        <v/>
      </c>
      <c r="I23" s="12">
        <f>IFERROR(MAX(C23:G23)-MIN(C23:G23),"")</f>
        <v/>
      </c>
      <c r="J23" s="13" t="inlineStr"/>
    </row>
    <row r="24" ht="20" customHeight="1">
      <c r="A24" s="8" t="n">
        <v>18</v>
      </c>
      <c r="B24" s="14" t="inlineStr"/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1">
        <f>IFERROR(AVERAGE(C24:G24),"")</f>
        <v/>
      </c>
      <c r="I24" s="12">
        <f>IFERROR(MAX(C24:G24)-MIN(C24:G24),"")</f>
        <v/>
      </c>
      <c r="J24" s="13" t="inlineStr"/>
    </row>
    <row r="25" ht="20" customHeight="1">
      <c r="A25" s="8" t="n">
        <v>19</v>
      </c>
      <c r="B25" s="9" t="inlineStr"/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1">
        <f>IFERROR(AVERAGE(C25:G25),"")</f>
        <v/>
      </c>
      <c r="I25" s="12">
        <f>IFERROR(MAX(C25:G25)-MIN(C25:G25),"")</f>
        <v/>
      </c>
      <c r="J25" s="13" t="inlineStr"/>
    </row>
    <row r="26" ht="20" customHeight="1">
      <c r="A26" s="8" t="n">
        <v>20</v>
      </c>
      <c r="B26" s="14" t="inlineStr"/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1">
        <f>IFERROR(AVERAGE(C26:G26),"")</f>
        <v/>
      </c>
      <c r="I26" s="12">
        <f>IFERROR(MAX(C26:G26)-MIN(C26:G26),"")</f>
        <v/>
      </c>
      <c r="J26" s="13" t="inlineStr"/>
    </row>
    <row r="27" ht="20" customHeight="1">
      <c r="A27" s="8" t="n">
        <v>21</v>
      </c>
      <c r="B27" s="9" t="inlineStr"/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1">
        <f>IFERROR(AVERAGE(C27:G27),"")</f>
        <v/>
      </c>
      <c r="I27" s="12">
        <f>IFERROR(MAX(C27:G27)-MIN(C27:G27),"")</f>
        <v/>
      </c>
      <c r="J27" s="13" t="inlineStr"/>
    </row>
    <row r="28" ht="20" customHeight="1">
      <c r="A28" s="8" t="n">
        <v>22</v>
      </c>
      <c r="B28" s="14" t="inlineStr"/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1">
        <f>IFERROR(AVERAGE(C28:G28),"")</f>
        <v/>
      </c>
      <c r="I28" s="12">
        <f>IFERROR(MAX(C28:G28)-MIN(C28:G28),"")</f>
        <v/>
      </c>
      <c r="J28" s="13" t="inlineStr"/>
    </row>
    <row r="29" ht="20" customHeight="1">
      <c r="A29" s="8" t="n">
        <v>23</v>
      </c>
      <c r="B29" s="9" t="inlineStr"/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1">
        <f>IFERROR(AVERAGE(C29:G29),"")</f>
        <v/>
      </c>
      <c r="I29" s="12">
        <f>IFERROR(MAX(C29:G29)-MIN(C29:G29),"")</f>
        <v/>
      </c>
      <c r="J29" s="13" t="inlineStr"/>
    </row>
    <row r="30" ht="20" customHeight="1">
      <c r="A30" s="8" t="n">
        <v>24</v>
      </c>
      <c r="B30" s="14" t="inlineStr"/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1">
        <f>IFERROR(AVERAGE(C30:G30),"")</f>
        <v/>
      </c>
      <c r="I30" s="12">
        <f>IFERROR(MAX(C30:G30)-MIN(C30:G30),"")</f>
        <v/>
      </c>
      <c r="J30" s="13" t="inlineStr"/>
    </row>
    <row r="31" ht="20" customHeight="1">
      <c r="A31" s="8" t="n">
        <v>25</v>
      </c>
      <c r="B31" s="9" t="inlineStr"/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0</v>
      </c>
      <c r="H31" s="11">
        <f>IFERROR(AVERAGE(C31:G31),"")</f>
        <v/>
      </c>
      <c r="I31" s="12">
        <f>IFERROR(MAX(C31:G31)-MIN(C31:G31),"")</f>
        <v/>
      </c>
      <c r="J31" s="13" t="inlineStr"/>
    </row>
    <row r="32" ht="20" customHeight="1">
      <c r="A32" s="15" t="inlineStr">
        <is>
          <t>CONTROL LIMIT CALCULATIONS</t>
        </is>
      </c>
    </row>
    <row r="33" ht="28" customHeight="1">
      <c r="A33" s="6" t="inlineStr">
        <is>
          <t>A2, D3, D4 constants depend on subgroup size n. n=2: A2=1.880,D3=0,D4=3.267 | n=3: A2=1.023,D3=0,D4=2.574 | n=4: A2=0.729,D3=0,D4=2.282 | n=5: A2=0.577,D3=0,D4=2.114</t>
        </is>
      </c>
    </row>
    <row r="34" ht="22" customHeight="1">
      <c r="A34" s="3" t="inlineStr">
        <is>
          <t>Grand Mean (X̄-bar)</t>
        </is>
      </c>
      <c r="C34" s="16">
        <f>IFERROR(AVERAGE(H9:H31),0)</f>
        <v/>
      </c>
    </row>
    <row r="35" ht="22" customHeight="1">
      <c r="A35" s="3" t="inlineStr">
        <is>
          <t>Average Range (R-bar)</t>
        </is>
      </c>
      <c r="C35" s="16">
        <f>IFERROR(AVERAGE(I9:I31),0)</f>
        <v/>
      </c>
    </row>
    <row r="36" ht="22" customHeight="1">
      <c r="A36" s="3" t="inlineStr">
        <is>
          <t>A2 constant (from table above)</t>
        </is>
      </c>
      <c r="C36" s="10" t="n">
        <v>0.577</v>
      </c>
    </row>
    <row r="37" ht="22" customHeight="1">
      <c r="A37" s="3" t="inlineStr">
        <is>
          <t>D3 constant</t>
        </is>
      </c>
      <c r="C37" s="10" t="n">
        <v>0</v>
      </c>
    </row>
    <row r="38" ht="22" customHeight="1">
      <c r="A38" s="3" t="inlineStr">
        <is>
          <t>D4 constant</t>
        </is>
      </c>
      <c r="C38" s="10" t="n">
        <v>2.114</v>
      </c>
    </row>
    <row r="39" ht="22" customHeight="1">
      <c r="A39" s="3" t="inlineStr">
        <is>
          <t>UCL (X̄ chart) = X̄-bar + A2×R-bar</t>
        </is>
      </c>
      <c r="C39" s="10" t="inlineStr"/>
    </row>
    <row r="40" ht="22" customHeight="1">
      <c r="A40" s="3" t="inlineStr">
        <is>
          <t>LCL (X̄ chart) = X̄-bar - A2×R-bar</t>
        </is>
      </c>
      <c r="C40" s="10" t="inlineStr"/>
    </row>
    <row r="41" ht="22" customHeight="1">
      <c r="A41" s="3" t="inlineStr">
        <is>
          <t>UCL (R chart) = D4×R-bar</t>
        </is>
      </c>
      <c r="C41" s="10" t="inlineStr"/>
    </row>
    <row r="42" ht="22" customHeight="1">
      <c r="A42" s="3" t="inlineStr">
        <is>
          <t>LCL (R chart) = D3×R-bar</t>
        </is>
      </c>
      <c r="C42" s="10" t="inlineStr"/>
    </row>
    <row r="44" ht="20" customHeight="1">
      <c r="A44" s="5" t="inlineStr">
        <is>
          <t>PROCESS CAPABILITY</t>
        </is>
      </c>
    </row>
    <row r="45" ht="22" customHeight="1">
      <c r="A45" s="17" t="inlineStr">
        <is>
          <t>Upper Spec Limit (USL):</t>
        </is>
      </c>
      <c r="B45" s="18" t="inlineStr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</row>
    <row r="46" ht="22" customHeight="1">
      <c r="A46" s="17" t="inlineStr">
        <is>
          <t>Lower Spec Limit (LSL):</t>
        </is>
      </c>
      <c r="B46" s="18" t="inlineStr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</row>
    <row r="47" ht="22" customHeight="1">
      <c r="A47" s="17" t="inlineStr">
        <is>
          <t>Process Standard Deviation (σ):</t>
        </is>
      </c>
      <c r="B47" s="18" t="inlineStr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</row>
    <row r="48" ht="22" customHeight="1">
      <c r="A48" s="17" t="inlineStr">
        <is>
          <t>Cp = (USL-LSL) / 6σ:</t>
        </is>
      </c>
      <c r="B48" s="18" t="inlineStr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</row>
    <row r="49" ht="22" customHeight="1">
      <c r="A49" s="17" t="inlineStr">
        <is>
          <t>Cpk = min(USL-mean, mean-LSL) / 3σ:</t>
        </is>
      </c>
      <c r="B49" s="18" t="inlineStr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</row>
    <row r="50" ht="22" customHeight="1">
      <c r="A50" s="17" t="inlineStr">
        <is>
          <t>Interpretation (Cp/Cpk &gt;1.33 = capable):</t>
        </is>
      </c>
      <c r="B50" s="18" t="inlineStr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</row>
    <row r="51" ht="22" customHeight="1">
      <c r="A51" s="17" t="inlineStr">
        <is>
          <t>Special causes identified:</t>
        </is>
      </c>
      <c r="B51" s="18" t="inlineStr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</row>
    <row r="52" ht="22" customHeight="1">
      <c r="A52" s="17" t="inlineStr">
        <is>
          <t>Actions taken:</t>
        </is>
      </c>
      <c r="B52" s="18" t="inlineStr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</row>
  </sheetData>
  <mergeCells count="15">
    <mergeCell ref="B49:L49"/>
    <mergeCell ref="B50:L50"/>
    <mergeCell ref="A2:L2"/>
    <mergeCell ref="B52:L52"/>
    <mergeCell ref="A33:L33"/>
    <mergeCell ref="B48:L48"/>
    <mergeCell ref="A1:L1"/>
    <mergeCell ref="A5:L5"/>
    <mergeCell ref="A32:L32"/>
    <mergeCell ref="B47:L47"/>
    <mergeCell ref="B51:L51"/>
    <mergeCell ref="A44:L44"/>
    <mergeCell ref="B46:L46"/>
    <mergeCell ref="B45:L45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2026-06-16T12:28:55Z</dcterms:created>
  <dcterms:modified xmlns:dcterms="http://purl.org/dc/terms/" xmlns:xsi="http://www.w3.org/2001/XMLSchema-instance" xsi:type="dcterms:W3CDTF">2026-06-16T12:28:55Z</dcterms:modified>
</cp:coreProperties>
</file>