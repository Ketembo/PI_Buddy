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s Matrix"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6"/>
    </font>
    <font>
      <name val="Arial"/>
      <b val="1"/>
      <color rgb="00712B13"/>
      <sz val="10"/>
    </font>
    <font>
      <name val="Arial"/>
      <b val="1"/>
      <color rgb="00FFFFFF"/>
      <sz val="9"/>
    </font>
    <font>
      <name val="Arial"/>
      <b val="1"/>
      <color rgb="00FFFFFF"/>
      <sz val="8"/>
    </font>
    <font>
      <name val="Arial"/>
      <color rgb="00000000"/>
      <sz val="9"/>
    </font>
    <font>
      <name val="Arial"/>
      <b val="1"/>
      <sz val="11"/>
    </font>
    <font>
      <name val="Arial"/>
      <b val="1"/>
      <color rgb="00712B13"/>
      <sz val="11"/>
    </font>
    <font>
      <name val="Arial"/>
      <sz val="9"/>
    </font>
    <font>
      <name val="Arial"/>
      <b val="1"/>
      <color rgb="00FFFFFF"/>
      <sz val="10"/>
    </font>
    <font>
      <name val="Arial"/>
      <b val="1"/>
      <color rgb="00712B13"/>
      <sz val="9"/>
    </font>
    <font>
      <name val="Arial"/>
      <b val="1"/>
      <color rgb="009C0006"/>
      <sz val="8"/>
    </font>
    <font>
      <name val="Arial"/>
      <b val="1"/>
      <color rgb="00BA7517"/>
      <sz val="8"/>
    </font>
    <font>
      <name val="Arial"/>
      <b val="1"/>
      <color rgb="002E75B6"/>
      <sz val="8"/>
    </font>
    <font>
      <name val="Arial"/>
      <b val="1"/>
      <color rgb="00375623"/>
      <sz val="8"/>
    </font>
  </fonts>
  <fills count="12">
    <fill>
      <patternFill/>
    </fill>
    <fill>
      <patternFill patternType="gray125"/>
    </fill>
    <fill>
      <patternFill patternType="solid">
        <fgColor rgb="00712B13"/>
      </patternFill>
    </fill>
    <fill>
      <patternFill patternType="solid">
        <fgColor rgb="00FAECE7"/>
      </patternFill>
    </fill>
    <fill>
      <patternFill patternType="solid">
        <fgColor rgb="00FFFFFF"/>
      </patternFill>
    </fill>
    <fill>
      <patternFill patternType="solid">
        <fgColor rgb="00FFF2CC"/>
      </patternFill>
    </fill>
    <fill>
      <patternFill patternType="solid">
        <fgColor rgb="00FEF6F4"/>
      </patternFill>
    </fill>
    <fill>
      <patternFill patternType="solid">
        <fgColor rgb="00F2F2F2"/>
      </patternFill>
    </fill>
    <fill>
      <patternFill patternType="solid">
        <fgColor rgb="00FFC7CE"/>
      </patternFill>
    </fill>
    <fill>
      <patternFill patternType="solid">
        <fgColor rgb="00FFF3D6"/>
      </patternFill>
    </fill>
    <fill>
      <patternFill patternType="solid">
        <fgColor rgb="00DDEEFF"/>
      </patternFill>
    </fill>
    <fill>
      <patternFill patternType="solid">
        <fgColor rgb="00E2EFDA"/>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style="thin">
        <color rgb="00999999"/>
      </right>
      <top style="thin">
        <color rgb="00999999"/>
      </top>
      <bottom style="thin">
        <color rgb="00999999"/>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0" borderId="4" pivotButton="0" quotePrefix="0" xfId="0"/>
    <xf numFmtId="0" fontId="5" fillId="4" borderId="5" applyAlignment="1" pivotButton="0" quotePrefix="0" xfId="0">
      <alignment horizontal="left" vertical="center" wrapText="1"/>
    </xf>
    <xf numFmtId="0" fontId="6" fillId="5" borderId="5" applyAlignment="1" pivotButton="0" quotePrefix="0" xfId="0">
      <alignment horizontal="center" vertical="center"/>
    </xf>
    <xf numFmtId="0" fontId="7" fillId="3" borderId="5" applyAlignment="1" pivotButton="0" quotePrefix="0" xfId="0">
      <alignment horizontal="center" vertical="center"/>
    </xf>
    <xf numFmtId="0" fontId="8" fillId="4" borderId="5" applyAlignment="1" pivotButton="0" quotePrefix="0" xfId="0">
      <alignment horizontal="center" vertical="center" wrapText="1"/>
    </xf>
    <xf numFmtId="0" fontId="0" fillId="4" borderId="5" applyAlignment="1" pivotButton="0" quotePrefix="0" xfId="0">
      <alignment horizontal="left" vertical="center" wrapText="1"/>
    </xf>
    <xf numFmtId="0" fontId="5" fillId="6" borderId="5" applyAlignment="1" pivotButton="0" quotePrefix="0" xfId="0">
      <alignment horizontal="left" vertical="center" wrapText="1"/>
    </xf>
    <xf numFmtId="0" fontId="0" fillId="6" borderId="5" applyAlignment="1" pivotButton="0" quotePrefix="0" xfId="0">
      <alignment horizontal="left" vertical="center" wrapText="1"/>
    </xf>
    <xf numFmtId="0" fontId="9" fillId="2" borderId="0" applyAlignment="1" pivotButton="0" quotePrefix="0" xfId="0">
      <alignment horizontal="right" vertical="center"/>
    </xf>
    <xf numFmtId="0" fontId="10" fillId="7" borderId="0" pivotButton="0" quotePrefix="0" xfId="0"/>
    <xf numFmtId="0" fontId="11" fillId="8" borderId="5" applyAlignment="1" pivotButton="0" quotePrefix="0" xfId="0">
      <alignment horizontal="center" vertical="center"/>
    </xf>
    <xf numFmtId="0" fontId="12" fillId="9" borderId="5" applyAlignment="1" pivotButton="0" quotePrefix="0" xfId="0">
      <alignment horizontal="center" vertical="center"/>
    </xf>
    <xf numFmtId="0" fontId="13" fillId="10" borderId="5" applyAlignment="1" pivotButton="0" quotePrefix="0" xfId="0">
      <alignment horizontal="center" vertical="center"/>
    </xf>
    <xf numFmtId="0" fontId="14" fillId="11" borderId="5" applyAlignment="1" pivotButton="0" quotePrefix="0" xfId="0">
      <alignment horizontal="center" vertical="center"/>
    </xf>
    <xf numFmtId="0" fontId="4" fillId="2" borderId="5" applyAlignment="1" pivotButton="0" quotePrefix="0" xfId="0">
      <alignment horizontal="center" vertical="center"/>
    </xf>
  </cellXfs>
  <cellStyles count="1">
    <cellStyle name="Normal" xfId="0" builtinId="0" hidden="0"/>
  </cellStyles>
  <dxfs count="8">
    <dxf>
      <font>
        <name val="Arial"/>
        <b val="1"/>
        <color rgb="009C0006"/>
      </font>
      <fill>
        <patternFill patternType="solid">
          <fgColor rgb="00FFC7CE"/>
        </patternFill>
      </fill>
    </dxf>
    <dxf>
      <font>
        <name val="Arial"/>
        <b val="1"/>
        <color rgb="00BA7517"/>
      </font>
      <fill>
        <patternFill patternType="solid">
          <fgColor rgb="00FFF3D6"/>
        </patternFill>
      </fill>
    </dxf>
    <dxf>
      <font>
        <name val="Arial"/>
        <b val="1"/>
        <color rgb="002E75B6"/>
      </font>
      <fill>
        <patternFill patternType="solid">
          <fgColor rgb="00DDEEFF"/>
        </patternFill>
      </fill>
    </dxf>
    <dxf>
      <font>
        <name val="Arial"/>
        <b val="1"/>
        <color rgb="00375623"/>
      </font>
      <fill>
        <patternFill patternType="solid">
          <fgColor rgb="00E2EFDA"/>
        </patternFill>
      </fill>
    </dxf>
    <dxf>
      <font>
        <name val="Arial"/>
        <b val="1"/>
        <color rgb="00FFFFFF"/>
      </font>
      <fill>
        <patternFill patternType="solid">
          <fgColor rgb="00712B13"/>
        </patternFill>
      </fill>
    </dxf>
    <dxf>
      <font>
        <name val="Arial"/>
        <b val="1"/>
        <color rgb="009C0006"/>
        <sz val="9"/>
      </font>
      <fill>
        <patternFill patternType="solid">
          <fgColor rgb="00FFC7CE"/>
        </patternFill>
      </fill>
    </dxf>
    <dxf>
      <font>
        <name val="Arial"/>
        <b val="1"/>
        <color rgb="00BA7517"/>
        <sz val="9"/>
      </font>
      <fill>
        <patternFill patternType="solid">
          <fgColor rgb="00FFF3D6"/>
        </patternFill>
      </fill>
    </dxf>
    <dxf>
      <font>
        <name val="Arial"/>
        <b val="1"/>
        <color rgb="00375623"/>
        <sz val="9"/>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12B13"/>
    <outlinePr summaryBelow="1" summaryRight="1"/>
    <pageSetUpPr/>
  </sheetPr>
  <dimension ref="A1:U2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0" customWidth="1" min="12" max="12"/>
    <col width="13" customWidth="1" min="13" max="13"/>
    <col width="18" customWidth="1" min="14" max="14"/>
    <col width="10" customWidth="1" min="15" max="15"/>
  </cols>
  <sheetData>
    <row r="1" ht="36" customHeight="1">
      <c r="A1" s="1" t="inlineStr">
        <is>
          <t>Skills &amp; Competency Matrix</t>
        </is>
      </c>
    </row>
    <row r="2" ht="20" customHeight="1">
      <c r="A2" s="2" t="inlineStr">
        <is>
          <t>0 = No knowledge   1 = Awareness only   2 = Can do with support   3 = Can do independently   4 = Can train others</t>
        </is>
      </c>
    </row>
    <row r="3" ht="36" customHeight="1">
      <c r="A3" s="3" t="inlineStr">
        <is>
          <t>Competency / Skill</t>
        </is>
      </c>
      <c r="B3" s="4" t="inlineStr">
        <is>
          <t>Team Member 1</t>
        </is>
      </c>
      <c r="C3" s="4" t="inlineStr">
        <is>
          <t>Team Member 2</t>
        </is>
      </c>
      <c r="D3" s="4" t="inlineStr">
        <is>
          <t>Team Member 3</t>
        </is>
      </c>
      <c r="E3" s="4" t="inlineStr">
        <is>
          <t>Team Member 4</t>
        </is>
      </c>
      <c r="F3" s="4" t="inlineStr">
        <is>
          <t>Team Member 5</t>
        </is>
      </c>
      <c r="G3" s="4" t="inlineStr">
        <is>
          <t>Team Member 6</t>
        </is>
      </c>
      <c r="H3" s="4" t="inlineStr">
        <is>
          <t>Team Member 7</t>
        </is>
      </c>
      <c r="I3" s="4" t="inlineStr">
        <is>
          <t>Team Member 8</t>
        </is>
      </c>
      <c r="J3" s="4" t="inlineStr">
        <is>
          <t>Team Member 9</t>
        </is>
      </c>
      <c r="K3" s="4" t="inlineStr">
        <is>
          <t>Team Member 10</t>
        </is>
      </c>
      <c r="L3" s="4" t="inlineStr">
        <is>
          <t>Team Avg</t>
        </is>
      </c>
      <c r="M3" s="4" t="inlineStr">
        <is>
          <t>Gap Alert</t>
        </is>
      </c>
      <c r="N3" s="4" t="inlineStr">
        <is>
          <t>Priority Development</t>
        </is>
      </c>
      <c r="O3" s="5" t="n"/>
    </row>
    <row r="4" ht="22" customHeight="1">
      <c r="A4" s="6" t="inlineStr">
        <is>
          <t>5S / Workplace Organisation</t>
        </is>
      </c>
      <c r="B4" s="7" t="n">
        <v>0</v>
      </c>
      <c r="C4" s="7" t="n">
        <v>0</v>
      </c>
      <c r="D4" s="7" t="n">
        <v>0</v>
      </c>
      <c r="E4" s="7" t="n">
        <v>0</v>
      </c>
      <c r="F4" s="7" t="n">
        <v>0</v>
      </c>
      <c r="G4" s="7" t="n">
        <v>0</v>
      </c>
      <c r="H4" s="7" t="n">
        <v>0</v>
      </c>
      <c r="I4" s="7" t="n">
        <v>0</v>
      </c>
      <c r="J4" s="7" t="n">
        <v>0</v>
      </c>
      <c r="K4" s="7" t="n">
        <v>0</v>
      </c>
      <c r="L4" s="8">
        <f>ROUND(AVERAGE(B4:K4),1)</f>
        <v/>
      </c>
      <c r="M4" s="9">
        <f>IF(COUNTIF(B4:K4,"=0")&gt;0,"⚠ Critical Gap",IF(COUNTIF(B4:K4,"&lt;=1")&gt;2,"↗ Develop","✓ OK"))</f>
        <v/>
      </c>
      <c r="N4" s="10" t="inlineStr"/>
    </row>
    <row r="5" ht="22" customHeight="1">
      <c r="A5" s="11" t="inlineStr">
        <is>
          <t>PDCA / Problem Solving</t>
        </is>
      </c>
      <c r="B5" s="7" t="n">
        <v>0</v>
      </c>
      <c r="C5" s="7" t="n">
        <v>0</v>
      </c>
      <c r="D5" s="7" t="n">
        <v>0</v>
      </c>
      <c r="E5" s="7" t="n">
        <v>0</v>
      </c>
      <c r="F5" s="7" t="n">
        <v>0</v>
      </c>
      <c r="G5" s="7" t="n">
        <v>0</v>
      </c>
      <c r="H5" s="7" t="n">
        <v>0</v>
      </c>
      <c r="I5" s="7" t="n">
        <v>0</v>
      </c>
      <c r="J5" s="7" t="n">
        <v>0</v>
      </c>
      <c r="K5" s="7" t="n">
        <v>0</v>
      </c>
      <c r="L5" s="8">
        <f>ROUND(AVERAGE(B5:K5),1)</f>
        <v/>
      </c>
      <c r="M5" s="9">
        <f>IF(COUNTIF(B5:K5,"=0")&gt;0,"⚠ Critical Gap",IF(COUNTIF(B5:K5,"&lt;=1")&gt;2,"↗ Develop","✓ OK"))</f>
        <v/>
      </c>
      <c r="N5" s="12" t="inlineStr"/>
    </row>
    <row r="6" ht="22" customHeight="1">
      <c r="A6" s="6" t="inlineStr">
        <is>
          <t>Root Cause Analysis (5 Why's / A3)</t>
        </is>
      </c>
      <c r="B6" s="7" t="n">
        <v>0</v>
      </c>
      <c r="C6" s="7" t="n">
        <v>0</v>
      </c>
      <c r="D6" s="7" t="n">
        <v>0</v>
      </c>
      <c r="E6" s="7" t="n">
        <v>0</v>
      </c>
      <c r="F6" s="7" t="n">
        <v>0</v>
      </c>
      <c r="G6" s="7" t="n">
        <v>0</v>
      </c>
      <c r="H6" s="7" t="n">
        <v>0</v>
      </c>
      <c r="I6" s="7" t="n">
        <v>0</v>
      </c>
      <c r="J6" s="7" t="n">
        <v>0</v>
      </c>
      <c r="K6" s="7" t="n">
        <v>0</v>
      </c>
      <c r="L6" s="8">
        <f>ROUND(AVERAGE(B6:K6),1)</f>
        <v/>
      </c>
      <c r="M6" s="9">
        <f>IF(COUNTIF(B6:K6,"=0")&gt;0,"⚠ Critical Gap",IF(COUNTIF(B6:K6,"&lt;=1")&gt;2,"↗ Develop","✓ OK"))</f>
        <v/>
      </c>
      <c r="N6" s="10" t="inlineStr"/>
    </row>
    <row r="7" ht="22" customHeight="1">
      <c r="A7" s="11" t="inlineStr">
        <is>
          <t>FMEA / Risk Management</t>
        </is>
      </c>
      <c r="B7" s="7" t="n">
        <v>0</v>
      </c>
      <c r="C7" s="7" t="n">
        <v>0</v>
      </c>
      <c r="D7" s="7" t="n">
        <v>0</v>
      </c>
      <c r="E7" s="7" t="n">
        <v>0</v>
      </c>
      <c r="F7" s="7" t="n">
        <v>0</v>
      </c>
      <c r="G7" s="7" t="n">
        <v>0</v>
      </c>
      <c r="H7" s="7" t="n">
        <v>0</v>
      </c>
      <c r="I7" s="7" t="n">
        <v>0</v>
      </c>
      <c r="J7" s="7" t="n">
        <v>0</v>
      </c>
      <c r="K7" s="7" t="n">
        <v>0</v>
      </c>
      <c r="L7" s="8">
        <f>ROUND(AVERAGE(B7:K7),1)</f>
        <v/>
      </c>
      <c r="M7" s="9">
        <f>IF(COUNTIF(B7:K7,"=0")&gt;0,"⚠ Critical Gap",IF(COUNTIF(B7:K7,"&lt;=1")&gt;2,"↗ Develop","✓ OK"))</f>
        <v/>
      </c>
      <c r="N7" s="12" t="inlineStr"/>
    </row>
    <row r="8" ht="22" customHeight="1">
      <c r="A8" s="6" t="inlineStr">
        <is>
          <t>Statistical Process Control / SPC</t>
        </is>
      </c>
      <c r="B8" s="7" t="n">
        <v>0</v>
      </c>
      <c r="C8" s="7" t="n">
        <v>0</v>
      </c>
      <c r="D8" s="7" t="n">
        <v>0</v>
      </c>
      <c r="E8" s="7" t="n">
        <v>0</v>
      </c>
      <c r="F8" s="7" t="n">
        <v>0</v>
      </c>
      <c r="G8" s="7" t="n">
        <v>0</v>
      </c>
      <c r="H8" s="7" t="n">
        <v>0</v>
      </c>
      <c r="I8" s="7" t="n">
        <v>0</v>
      </c>
      <c r="J8" s="7" t="n">
        <v>0</v>
      </c>
      <c r="K8" s="7" t="n">
        <v>0</v>
      </c>
      <c r="L8" s="8">
        <f>ROUND(AVERAGE(B8:K8),1)</f>
        <v/>
      </c>
      <c r="M8" s="9">
        <f>IF(COUNTIF(B8:K8,"=0")&gt;0,"⚠ Critical Gap",IF(COUNTIF(B8:K8,"&lt;=1")&gt;2,"↗ Develop","✓ OK"))</f>
        <v/>
      </c>
      <c r="N8" s="10" t="inlineStr"/>
    </row>
    <row r="9" ht="22" customHeight="1">
      <c r="A9" s="11" t="inlineStr">
        <is>
          <t>Value Stream Mapping</t>
        </is>
      </c>
      <c r="B9" s="7" t="n">
        <v>0</v>
      </c>
      <c r="C9" s="7" t="n">
        <v>0</v>
      </c>
      <c r="D9" s="7" t="n">
        <v>0</v>
      </c>
      <c r="E9" s="7" t="n">
        <v>0</v>
      </c>
      <c r="F9" s="7" t="n">
        <v>0</v>
      </c>
      <c r="G9" s="7" t="n">
        <v>0</v>
      </c>
      <c r="H9" s="7" t="n">
        <v>0</v>
      </c>
      <c r="I9" s="7" t="n">
        <v>0</v>
      </c>
      <c r="J9" s="7" t="n">
        <v>0</v>
      </c>
      <c r="K9" s="7" t="n">
        <v>0</v>
      </c>
      <c r="L9" s="8">
        <f>ROUND(AVERAGE(B9:K9),1)</f>
        <v/>
      </c>
      <c r="M9" s="9">
        <f>IF(COUNTIF(B9:K9,"=0")&gt;0,"⚠ Critical Gap",IF(COUNTIF(B9:K9,"&lt;=1")&gt;2,"↗ Develop","✓ OK"))</f>
        <v/>
      </c>
      <c r="N9" s="12" t="inlineStr"/>
    </row>
    <row r="10" ht="22" customHeight="1">
      <c r="A10" s="6" t="inlineStr">
        <is>
          <t>Kanban / Pull Systems</t>
        </is>
      </c>
      <c r="B10" s="7" t="n">
        <v>0</v>
      </c>
      <c r="C10" s="7" t="n">
        <v>0</v>
      </c>
      <c r="D10" s="7" t="n">
        <v>0</v>
      </c>
      <c r="E10" s="7" t="n">
        <v>0</v>
      </c>
      <c r="F10" s="7" t="n">
        <v>0</v>
      </c>
      <c r="G10" s="7" t="n">
        <v>0</v>
      </c>
      <c r="H10" s="7" t="n">
        <v>0</v>
      </c>
      <c r="I10" s="7" t="n">
        <v>0</v>
      </c>
      <c r="J10" s="7" t="n">
        <v>0</v>
      </c>
      <c r="K10" s="7" t="n">
        <v>0</v>
      </c>
      <c r="L10" s="8">
        <f>ROUND(AVERAGE(B10:K10),1)</f>
        <v/>
      </c>
      <c r="M10" s="9">
        <f>IF(COUNTIF(B10:K10,"=0")&gt;0,"⚠ Critical Gap",IF(COUNTIF(B10:K10,"&lt;=1")&gt;2,"↗ Develop","✓ OK"))</f>
        <v/>
      </c>
      <c r="N10" s="10" t="inlineStr"/>
    </row>
    <row r="11" ht="22" customHeight="1">
      <c r="A11" s="11" t="inlineStr">
        <is>
          <t>OEE / Equipment Management</t>
        </is>
      </c>
      <c r="B11" s="7" t="n">
        <v>0</v>
      </c>
      <c r="C11" s="7" t="n">
        <v>0</v>
      </c>
      <c r="D11" s="7" t="n">
        <v>0</v>
      </c>
      <c r="E11" s="7" t="n">
        <v>0</v>
      </c>
      <c r="F11" s="7" t="n">
        <v>0</v>
      </c>
      <c r="G11" s="7" t="n">
        <v>0</v>
      </c>
      <c r="H11" s="7" t="n">
        <v>0</v>
      </c>
      <c r="I11" s="7" t="n">
        <v>0</v>
      </c>
      <c r="J11" s="7" t="n">
        <v>0</v>
      </c>
      <c r="K11" s="7" t="n">
        <v>0</v>
      </c>
      <c r="L11" s="8">
        <f>ROUND(AVERAGE(B11:K11),1)</f>
        <v/>
      </c>
      <c r="M11" s="9">
        <f>IF(COUNTIF(B11:K11,"=0")&gt;0,"⚠ Critical Gap",IF(COUNTIF(B11:K11,"&lt;=1")&gt;2,"↗ Develop","✓ OK"))</f>
        <v/>
      </c>
      <c r="N11" s="12" t="inlineStr"/>
    </row>
    <row r="12" ht="22" customHeight="1">
      <c r="A12" s="6" t="inlineStr">
        <is>
          <t>Project Management</t>
        </is>
      </c>
      <c r="B12" s="7" t="n">
        <v>0</v>
      </c>
      <c r="C12" s="7" t="n">
        <v>0</v>
      </c>
      <c r="D12" s="7" t="n">
        <v>0</v>
      </c>
      <c r="E12" s="7" t="n">
        <v>0</v>
      </c>
      <c r="F12" s="7" t="n">
        <v>0</v>
      </c>
      <c r="G12" s="7" t="n">
        <v>0</v>
      </c>
      <c r="H12" s="7" t="n">
        <v>0</v>
      </c>
      <c r="I12" s="7" t="n">
        <v>0</v>
      </c>
      <c r="J12" s="7" t="n">
        <v>0</v>
      </c>
      <c r="K12" s="7" t="n">
        <v>0</v>
      </c>
      <c r="L12" s="8">
        <f>ROUND(AVERAGE(B12:K12),1)</f>
        <v/>
      </c>
      <c r="M12" s="9">
        <f>IF(COUNTIF(B12:K12,"=0")&gt;0,"⚠ Critical Gap",IF(COUNTIF(B12:K12,"&lt;=1")&gt;2,"↗ Develop","✓ OK"))</f>
        <v/>
      </c>
      <c r="N12" s="10" t="inlineStr"/>
    </row>
    <row r="13" ht="22" customHeight="1">
      <c r="A13" s="11" t="inlineStr">
        <is>
          <t>Visual Management / Daily Meetings</t>
        </is>
      </c>
      <c r="B13" s="7" t="n">
        <v>0</v>
      </c>
      <c r="C13" s="7" t="n">
        <v>0</v>
      </c>
      <c r="D13" s="7" t="n">
        <v>0</v>
      </c>
      <c r="E13" s="7" t="n">
        <v>0</v>
      </c>
      <c r="F13" s="7" t="n">
        <v>0</v>
      </c>
      <c r="G13" s="7" t="n">
        <v>0</v>
      </c>
      <c r="H13" s="7" t="n">
        <v>0</v>
      </c>
      <c r="I13" s="7" t="n">
        <v>0</v>
      </c>
      <c r="J13" s="7" t="n">
        <v>0</v>
      </c>
      <c r="K13" s="7" t="n">
        <v>0</v>
      </c>
      <c r="L13" s="8">
        <f>ROUND(AVERAGE(B13:K13),1)</f>
        <v/>
      </c>
      <c r="M13" s="9">
        <f>IF(COUNTIF(B13:K13,"=0")&gt;0,"⚠ Critical Gap",IF(COUNTIF(B13:K13,"&lt;=1")&gt;2,"↗ Develop","✓ OK"))</f>
        <v/>
      </c>
      <c r="N13" s="12" t="inlineStr"/>
    </row>
    <row r="14" ht="22" customHeight="1">
      <c r="A14" s="6" t="inlineStr">
        <is>
          <t>Standard Work Development</t>
        </is>
      </c>
      <c r="B14" s="7" t="n">
        <v>0</v>
      </c>
      <c r="C14" s="7" t="n">
        <v>0</v>
      </c>
      <c r="D14" s="7" t="n">
        <v>0</v>
      </c>
      <c r="E14" s="7" t="n">
        <v>0</v>
      </c>
      <c r="F14" s="7" t="n">
        <v>0</v>
      </c>
      <c r="G14" s="7" t="n">
        <v>0</v>
      </c>
      <c r="H14" s="7" t="n">
        <v>0</v>
      </c>
      <c r="I14" s="7" t="n">
        <v>0</v>
      </c>
      <c r="J14" s="7" t="n">
        <v>0</v>
      </c>
      <c r="K14" s="7" t="n">
        <v>0</v>
      </c>
      <c r="L14" s="8">
        <f>ROUND(AVERAGE(B14:K14),1)</f>
        <v/>
      </c>
      <c r="M14" s="9">
        <f>IF(COUNTIF(B14:K14,"=0")&gt;0,"⚠ Critical Gap",IF(COUNTIF(B14:K14,"&lt;=1")&gt;2,"↗ Develop","✓ OK"))</f>
        <v/>
      </c>
      <c r="N14" s="10" t="inlineStr"/>
    </row>
    <row r="15" ht="22" customHeight="1">
      <c r="A15" s="11" t="inlineStr">
        <is>
          <t>Safety / Risk Assessment</t>
        </is>
      </c>
      <c r="B15" s="7" t="n">
        <v>0</v>
      </c>
      <c r="C15" s="7" t="n">
        <v>0</v>
      </c>
      <c r="D15" s="7" t="n">
        <v>0</v>
      </c>
      <c r="E15" s="7" t="n">
        <v>0</v>
      </c>
      <c r="F15" s="7" t="n">
        <v>0</v>
      </c>
      <c r="G15" s="7" t="n">
        <v>0</v>
      </c>
      <c r="H15" s="7" t="n">
        <v>0</v>
      </c>
      <c r="I15" s="7" t="n">
        <v>0</v>
      </c>
      <c r="J15" s="7" t="n">
        <v>0</v>
      </c>
      <c r="K15" s="7" t="n">
        <v>0</v>
      </c>
      <c r="L15" s="8">
        <f>ROUND(AVERAGE(B15:K15),1)</f>
        <v/>
      </c>
      <c r="M15" s="9">
        <f>IF(COUNTIF(B15:K15,"=0")&gt;0,"⚠ Critical Gap",IF(COUNTIF(B15:K15,"&lt;=1")&gt;2,"↗ Develop","✓ OK"))</f>
        <v/>
      </c>
      <c r="N15" s="12" t="inlineStr"/>
    </row>
    <row r="16" ht="22" customHeight="1">
      <c r="A16" s="6" t="inlineStr">
        <is>
          <t>Customer Focus / Gemba</t>
        </is>
      </c>
      <c r="B16" s="7" t="n">
        <v>0</v>
      </c>
      <c r="C16" s="7" t="n">
        <v>0</v>
      </c>
      <c r="D16" s="7" t="n">
        <v>0</v>
      </c>
      <c r="E16" s="7" t="n">
        <v>0</v>
      </c>
      <c r="F16" s="7" t="n">
        <v>0</v>
      </c>
      <c r="G16" s="7" t="n">
        <v>0</v>
      </c>
      <c r="H16" s="7" t="n">
        <v>0</v>
      </c>
      <c r="I16" s="7" t="n">
        <v>0</v>
      </c>
      <c r="J16" s="7" t="n">
        <v>0</v>
      </c>
      <c r="K16" s="7" t="n">
        <v>0</v>
      </c>
      <c r="L16" s="8">
        <f>ROUND(AVERAGE(B16:K16),1)</f>
        <v/>
      </c>
      <c r="M16" s="9">
        <f>IF(COUNTIF(B16:K16,"=0")&gt;0,"⚠ Critical Gap",IF(COUNTIF(B16:K16,"&lt;=1")&gt;2,"↗ Develop","✓ OK"))</f>
        <v/>
      </c>
      <c r="N16" s="10" t="inlineStr"/>
    </row>
    <row r="17" ht="22" customHeight="1">
      <c r="A17" s="11" t="inlineStr">
        <is>
          <t>Team Facilitation / Workshops</t>
        </is>
      </c>
      <c r="B17" s="7" t="n">
        <v>0</v>
      </c>
      <c r="C17" s="7" t="n">
        <v>0</v>
      </c>
      <c r="D17" s="7" t="n">
        <v>0</v>
      </c>
      <c r="E17" s="7" t="n">
        <v>0</v>
      </c>
      <c r="F17" s="7" t="n">
        <v>0</v>
      </c>
      <c r="G17" s="7" t="n">
        <v>0</v>
      </c>
      <c r="H17" s="7" t="n">
        <v>0</v>
      </c>
      <c r="I17" s="7" t="n">
        <v>0</v>
      </c>
      <c r="J17" s="7" t="n">
        <v>0</v>
      </c>
      <c r="K17" s="7" t="n">
        <v>0</v>
      </c>
      <c r="L17" s="8">
        <f>ROUND(AVERAGE(B17:K17),1)</f>
        <v/>
      </c>
      <c r="M17" s="9">
        <f>IF(COUNTIF(B17:K17,"=0")&gt;0,"⚠ Critical Gap",IF(COUNTIF(B17:K17,"&lt;=1")&gt;2,"↗ Develop","✓ OK"))</f>
        <v/>
      </c>
      <c r="N17" s="12" t="inlineStr"/>
    </row>
    <row r="18" ht="22" customHeight="1">
      <c r="A18" s="6" t="inlineStr">
        <is>
          <t>Coaching / Mentoring</t>
        </is>
      </c>
      <c r="B18" s="7" t="n">
        <v>0</v>
      </c>
      <c r="C18" s="7" t="n">
        <v>0</v>
      </c>
      <c r="D18" s="7" t="n">
        <v>0</v>
      </c>
      <c r="E18" s="7" t="n">
        <v>0</v>
      </c>
      <c r="F18" s="7" t="n">
        <v>0</v>
      </c>
      <c r="G18" s="7" t="n">
        <v>0</v>
      </c>
      <c r="H18" s="7" t="n">
        <v>0</v>
      </c>
      <c r="I18" s="7" t="n">
        <v>0</v>
      </c>
      <c r="J18" s="7" t="n">
        <v>0</v>
      </c>
      <c r="K18" s="7" t="n">
        <v>0</v>
      </c>
      <c r="L18" s="8">
        <f>ROUND(AVERAGE(B18:K18),1)</f>
        <v/>
      </c>
      <c r="M18" s="9">
        <f>IF(COUNTIF(B18:K18,"=0")&gt;0,"⚠ Critical Gap",IF(COUNTIF(B18:K18,"&lt;=1")&gt;2,"↗ Develop","✓ OK"))</f>
        <v/>
      </c>
      <c r="N18" s="10" t="inlineStr"/>
    </row>
    <row r="19" ht="22" customHeight="1">
      <c r="A19" s="11" t="inlineStr">
        <is>
          <t>Lean Principles</t>
        </is>
      </c>
      <c r="B19" s="7" t="n">
        <v>0</v>
      </c>
      <c r="C19" s="7" t="n">
        <v>0</v>
      </c>
      <c r="D19" s="7" t="n">
        <v>0</v>
      </c>
      <c r="E19" s="7" t="n">
        <v>0</v>
      </c>
      <c r="F19" s="7" t="n">
        <v>0</v>
      </c>
      <c r="G19" s="7" t="n">
        <v>0</v>
      </c>
      <c r="H19" s="7" t="n">
        <v>0</v>
      </c>
      <c r="I19" s="7" t="n">
        <v>0</v>
      </c>
      <c r="J19" s="7" t="n">
        <v>0</v>
      </c>
      <c r="K19" s="7" t="n">
        <v>0</v>
      </c>
      <c r="L19" s="8">
        <f>ROUND(AVERAGE(B19:K19),1)</f>
        <v/>
      </c>
      <c r="M19" s="9">
        <f>IF(COUNTIF(B19:K19,"=0")&gt;0,"⚠ Critical Gap",IF(COUNTIF(B19:K19,"&lt;=1")&gt;2,"↗ Develop","✓ OK"))</f>
        <v/>
      </c>
      <c r="N19" s="12" t="inlineStr"/>
    </row>
    <row r="20" ht="22" customHeight="1">
      <c r="A20" s="6" t="inlineStr">
        <is>
          <t>Data Analysis</t>
        </is>
      </c>
      <c r="B20" s="7" t="n">
        <v>0</v>
      </c>
      <c r="C20" s="7" t="n">
        <v>0</v>
      </c>
      <c r="D20" s="7" t="n">
        <v>0</v>
      </c>
      <c r="E20" s="7" t="n">
        <v>0</v>
      </c>
      <c r="F20" s="7" t="n">
        <v>0</v>
      </c>
      <c r="G20" s="7" t="n">
        <v>0</v>
      </c>
      <c r="H20" s="7" t="n">
        <v>0</v>
      </c>
      <c r="I20" s="7" t="n">
        <v>0</v>
      </c>
      <c r="J20" s="7" t="n">
        <v>0</v>
      </c>
      <c r="K20" s="7" t="n">
        <v>0</v>
      </c>
      <c r="L20" s="8">
        <f>ROUND(AVERAGE(B20:K20),1)</f>
        <v/>
      </c>
      <c r="M20" s="9">
        <f>IF(COUNTIF(B20:K20,"=0")&gt;0,"⚠ Critical Gap",IF(COUNTIF(B20:K20,"&lt;=1")&gt;2,"↗ Develop","✓ OK"))</f>
        <v/>
      </c>
      <c r="N20" s="10" t="inlineStr"/>
    </row>
    <row r="21" ht="22" customHeight="1">
      <c r="A21" s="11" t="inlineStr">
        <is>
          <t>Financial Awareness</t>
        </is>
      </c>
      <c r="B21" s="7" t="n">
        <v>0</v>
      </c>
      <c r="C21" s="7" t="n">
        <v>0</v>
      </c>
      <c r="D21" s="7" t="n">
        <v>0</v>
      </c>
      <c r="E21" s="7" t="n">
        <v>0</v>
      </c>
      <c r="F21" s="7" t="n">
        <v>0</v>
      </c>
      <c r="G21" s="7" t="n">
        <v>0</v>
      </c>
      <c r="H21" s="7" t="n">
        <v>0</v>
      </c>
      <c r="I21" s="7" t="n">
        <v>0</v>
      </c>
      <c r="J21" s="7" t="n">
        <v>0</v>
      </c>
      <c r="K21" s="7" t="n">
        <v>0</v>
      </c>
      <c r="L21" s="8">
        <f>ROUND(AVERAGE(B21:K21),1)</f>
        <v/>
      </c>
      <c r="M21" s="9">
        <f>IF(COUNTIF(B21:K21,"=0")&gt;0,"⚠ Critical Gap",IF(COUNTIF(B21:K21,"&lt;=1")&gt;2,"↗ Develop","✓ OK"))</f>
        <v/>
      </c>
      <c r="N21" s="12" t="inlineStr"/>
    </row>
    <row r="22" ht="22" customHeight="1">
      <c r="A22" s="13" t="inlineStr">
        <is>
          <t>Team Average Score</t>
        </is>
      </c>
      <c r="B22" s="8">
        <f>ROUND(AVERAGE(B4:B21),1)</f>
        <v/>
      </c>
      <c r="C22" s="8">
        <f>ROUND(AVERAGE(C4:C21),1)</f>
        <v/>
      </c>
      <c r="D22" s="8">
        <f>ROUND(AVERAGE(D4:D21),1)</f>
        <v/>
      </c>
      <c r="E22" s="8">
        <f>ROUND(AVERAGE(E4:E21),1)</f>
        <v/>
      </c>
      <c r="F22" s="8">
        <f>ROUND(AVERAGE(F4:F21),1)</f>
        <v/>
      </c>
      <c r="G22" s="8">
        <f>ROUND(AVERAGE(G4:G21),1)</f>
        <v/>
      </c>
      <c r="H22" s="8">
        <f>ROUND(AVERAGE(H4:H21),1)</f>
        <v/>
      </c>
      <c r="I22" s="8">
        <f>ROUND(AVERAGE(I4:I21),1)</f>
        <v/>
      </c>
      <c r="J22" s="8">
        <f>ROUND(AVERAGE(J4:J21),1)</f>
        <v/>
      </c>
      <c r="K22" s="8">
        <f>ROUND(AVERAGE(K4:K21),1)</f>
        <v/>
      </c>
    </row>
    <row r="24" ht="20" customHeight="1">
      <c r="A24" s="14" t="inlineStr">
        <is>
          <t>LEGEND:</t>
        </is>
      </c>
      <c r="D24" s="15" t="inlineStr">
        <is>
          <t>0 = No knowledge</t>
        </is>
      </c>
      <c r="E24" s="16" t="inlineStr">
        <is>
          <t>1 = Awareness</t>
        </is>
      </c>
      <c r="F24" s="17" t="inlineStr">
        <is>
          <t>2 = With support</t>
        </is>
      </c>
      <c r="G24" s="18" t="inlineStr">
        <is>
          <t>3 = Independent</t>
        </is>
      </c>
      <c r="H24" s="19" t="inlineStr">
        <is>
          <t>4 = Can train</t>
        </is>
      </c>
    </row>
  </sheetData>
  <mergeCells count="23">
    <mergeCell ref="A22"/>
    <mergeCell ref="N11:O11"/>
    <mergeCell ref="N20:O20"/>
    <mergeCell ref="N7:O7"/>
    <mergeCell ref="N16:O16"/>
    <mergeCell ref="N3:O3"/>
    <mergeCell ref="N21:O21"/>
    <mergeCell ref="A2:U2"/>
    <mergeCell ref="N12:O12"/>
    <mergeCell ref="N18:O18"/>
    <mergeCell ref="N5:O5"/>
    <mergeCell ref="N14:O14"/>
    <mergeCell ref="N8:O8"/>
    <mergeCell ref="N17:O17"/>
    <mergeCell ref="N10:O10"/>
    <mergeCell ref="N19:O19"/>
    <mergeCell ref="N13:O13"/>
    <mergeCell ref="A24:C24"/>
    <mergeCell ref="N9:O9"/>
    <mergeCell ref="N15:O15"/>
    <mergeCell ref="N6:O6"/>
    <mergeCell ref="A1:U1"/>
    <mergeCell ref="N4:O4"/>
  </mergeCells>
  <conditionalFormatting sqref="B4:K21">
    <cfRule type="cellIs" priority="1" operator="equal" dxfId="0">
      <formula>0</formula>
    </cfRule>
    <cfRule type="cellIs" priority="2" operator="equal" dxfId="1">
      <formula>1</formula>
    </cfRule>
    <cfRule type="cellIs" priority="3" operator="equal" dxfId="2">
      <formula>2</formula>
    </cfRule>
    <cfRule type="cellIs" priority="4" operator="equal" dxfId="3">
      <formula>3</formula>
    </cfRule>
    <cfRule type="cellIs" priority="5" operator="equal" dxfId="4">
      <formula>4</formula>
    </cfRule>
  </conditionalFormatting>
  <conditionalFormatting sqref="M4:M21">
    <cfRule type="cellIs" priority="6" operator="containsText" dxfId="5">
      <formula>"Critical"</formula>
    </cfRule>
    <cfRule type="cellIs" priority="7" operator="containsText" dxfId="6">
      <formula>"Develop"</formula>
    </cfRule>
    <cfRule type="cellIs" priority="8" operator="containsText" dxfId="7">
      <formula>"OK"</formula>
    </cfRule>
  </conditionalFormatting>
  <dataValidations count="1">
    <dataValidation sqref="B4 B5 B6 B7 B8 B9 B10 B11 B12 B13 B14 B15 B16 B17 B18 B19 B20 B21 C4 C5 C6 C7 C8 C9 C10 C11 C12 C13 C14 C15 C16 C17 C18 C19 C20 C21 D4 D5 D6 D7 D8 D9 D10 D11 D12 D13 D14 D15 D16 D17 D18 D19 D20 D21 E4 E5 E6 E7 E8 E9 E10 E11 E12 E13 E14 E15 E16 E17 E18 E19 E20 E21 F4 F5 F6 F7 F8 F9 F10 F11 F12 F13 F14 F15 F16 F17 F18 F19 F20 F21 G4 G5 G6 G7 G8 G9 G10 G11 G12 G13 G14 G15 G16 G17 G18 G19 G20 G21 H4 H5 H6 H7 H8 H9 H10 H11 H12 H13 H14 H15 H16 H17 H18 H19 H20 H21 I4 I5 I6 I7 I8 I9 I10 I11 I12 I13 I14 I15 I16 I17 I18 I19 I20 I21 J4 J5 J6 J7 J8 J9 J10 J11 J12 J13 J14 J15 J16 J17 J18 J19 J20 J21 K4 K5 K6 K7 K8 K9 K10 K11 K12 K13 K14 K15 K16 K17 K18 K19 K20 K21" showDropDown="0" showInputMessage="0" showErrorMessage="1" allowBlank="0" type="whole" operator="between">
      <formula1>0</formula1>
      <formula2>4</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2026-06-16T05:57:37Z</dcterms:created>
  <dcterms:modified xmlns:dcterms="http://purl.org/dc/terms/" xmlns:xsi="http://www.w3.org/2001/XMLSchema-instance" xsi:type="dcterms:W3CDTF">2026-06-16T05:57:37Z</dcterms:modified>
</cp:coreProperties>
</file>