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M Data Capture" sheetId="1" state="visible" r:id="rId1"/>
  </sheets>
  <definedNames>
    <definedName name="_xlnm._FilterDatabase" localSheetId="0" hidden="1">'VSM Data Capture'!$A$4:$M$4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8"/>
    </font>
    <font>
      <name val="Arial"/>
      <b val="1"/>
      <color rgb="00375623"/>
      <sz val="10"/>
    </font>
    <font>
      <name val="Arial"/>
      <b val="1"/>
      <color rgb="00633806"/>
      <sz val="10"/>
    </font>
    <font>
      <name val="Arial"/>
      <b val="1"/>
      <color rgb="00FFFFFF"/>
      <sz val="11"/>
    </font>
    <font>
      <name val="Arial"/>
      <b val="1"/>
      <color rgb="00375623"/>
      <sz val="11"/>
    </font>
  </fonts>
  <fills count="11">
    <fill>
      <patternFill/>
    </fill>
    <fill>
      <patternFill patternType="gray125"/>
    </fill>
    <fill>
      <patternFill patternType="solid">
        <fgColor rgb="00633806"/>
      </patternFill>
    </fill>
    <fill>
      <patternFill patternType="solid">
        <fgColor rgb="00BA751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3D6"/>
      </patternFill>
    </fill>
    <fill>
      <patternFill patternType="solid">
        <fgColor rgb="00DDEEFF"/>
      </patternFill>
    </fill>
    <fill>
      <patternFill patternType="solid">
        <fgColor rgb="00FFF8F0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1" fontId="9" fillId="7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7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3806"/>
    <outlinePr summaryBelow="1" summaryRight="1"/>
    <pageSetUpPr/>
  </sheetPr>
  <dimension ref="A1:M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0" customWidth="1" min="4" max="4"/>
    <col width="9" customWidth="1" min="5" max="5"/>
    <col width="8" customWidth="1" min="6" max="6"/>
    <col width="8" customWidth="1" min="7" max="7"/>
    <col width="11" customWidth="1" min="8" max="8"/>
    <col width="10" customWidth="1" min="9" max="9"/>
    <col width="11" customWidth="1" min="10" max="10"/>
    <col width="8" customWidth="1" min="11" max="11"/>
    <col width="8" customWidth="1" min="12" max="12"/>
    <col width="16" customWidth="1" min="13" max="13"/>
  </cols>
  <sheetData>
    <row r="1" ht="36" customHeight="1">
      <c r="A1" s="1" t="inlineStr">
        <is>
          <t>Value Stream Mapping — Process Data Capture Sheet</t>
        </is>
      </c>
    </row>
    <row r="2" ht="16" customHeight="1">
      <c r="A2" s="2" t="inlineStr">
        <is>
          <t>Walk the process with this sheet. Record actual data — not estimates. One row per process step.</t>
        </is>
      </c>
    </row>
    <row r="3" ht="18" customHeight="1">
      <c r="A3" s="3" t="inlineStr">
        <is>
          <t>Value Stream:</t>
        </is>
      </c>
      <c r="B3" s="4" t="inlineStr"/>
      <c r="C3" s="3" t="inlineStr">
        <is>
          <t>Product Family:</t>
        </is>
      </c>
      <c r="D3" s="4" t="inlineStr"/>
      <c r="E3" s="3" t="inlineStr">
        <is>
          <t>Mapped by:</t>
        </is>
      </c>
      <c r="F3" s="4" t="inlineStr"/>
      <c r="G3" s="3" t="inlineStr">
        <is>
          <t>Date:</t>
        </is>
      </c>
      <c r="H3" s="4" t="inlineStr"/>
      <c r="I3" s="3" t="inlineStr">
        <is>
          <t>Current / Future:</t>
        </is>
      </c>
      <c r="J3" s="4" t="inlineStr"/>
    </row>
    <row r="4" ht="42" customHeight="1">
      <c r="A4" s="5" t="inlineStr">
        <is>
          <t>#</t>
        </is>
      </c>
      <c r="B4" s="5" t="inlineStr">
        <is>
          <t>Process Step Name</t>
        </is>
      </c>
      <c r="C4" s="6" t="inlineStr">
        <is>
          <t>Cycle Time
(seconds)</t>
        </is>
      </c>
      <c r="D4" s="6" t="inlineStr">
        <is>
          <t>C/O Time
(minutes)</t>
        </is>
      </c>
      <c r="E4" s="6" t="inlineStr">
        <is>
          <t>Availability
(%)</t>
        </is>
      </c>
      <c r="F4" s="6" t="inlineStr">
        <is>
          <t>Shifts per Day</t>
        </is>
      </c>
      <c r="G4" s="6" t="inlineStr">
        <is>
          <t>Shift Hours</t>
        </is>
      </c>
      <c r="H4" s="5" t="inlineStr">
        <is>
          <t>Daily Capacity
(units) *calc*</t>
        </is>
      </c>
      <c r="I4" s="5" t="inlineStr">
        <is>
          <t>Inventory Before
(units)</t>
        </is>
      </c>
      <c r="J4" s="5" t="inlineStr">
        <is>
          <t>Queue Time
(hours) *calc*</t>
        </is>
      </c>
      <c r="K4" s="5" t="inlineStr">
        <is>
          <t>Value Added?
(Y/N)</t>
        </is>
      </c>
      <c r="L4" s="6" t="inlineStr">
        <is>
          <t># Operators</t>
        </is>
      </c>
      <c r="M4" s="5" t="inlineStr">
        <is>
          <t>Notes</t>
        </is>
      </c>
    </row>
    <row r="5" ht="22" customHeight="1">
      <c r="A5" s="7" t="n">
        <v>1</v>
      </c>
      <c r="B5" s="8" t="inlineStr"/>
      <c r="C5" s="9" t="n">
        <v>0</v>
      </c>
      <c r="D5" s="9" t="n">
        <v>0</v>
      </c>
      <c r="E5" s="9" t="n">
        <v>95</v>
      </c>
      <c r="F5" s="9" t="n">
        <v>2</v>
      </c>
      <c r="G5" s="9" t="n">
        <v>8</v>
      </c>
      <c r="H5" s="10">
        <f>IFERROR(IF(C5=0,"—",ROUND((G5*3600*F5*(E5/100))/C5,0)),"—")</f>
        <v/>
      </c>
      <c r="I5" s="9" t="n">
        <v>0</v>
      </c>
      <c r="J5" s="11">
        <f>IFERROR(IF(OR(H5="—",H5=0),"—",ROUND(I5/H5*G5,1)),"—")</f>
        <v/>
      </c>
      <c r="K5" s="12" t="inlineStr">
        <is>
          <t>Y</t>
        </is>
      </c>
      <c r="L5" s="9" t="n">
        <v>1</v>
      </c>
      <c r="M5" s="8" t="inlineStr"/>
    </row>
    <row r="6" ht="22" customHeight="1">
      <c r="A6" s="7" t="n">
        <v>2</v>
      </c>
      <c r="B6" s="13" t="inlineStr"/>
      <c r="C6" s="9" t="n">
        <v>0</v>
      </c>
      <c r="D6" s="9" t="n">
        <v>0</v>
      </c>
      <c r="E6" s="9" t="n">
        <v>95</v>
      </c>
      <c r="F6" s="9" t="n">
        <v>2</v>
      </c>
      <c r="G6" s="9" t="n">
        <v>8</v>
      </c>
      <c r="H6" s="10">
        <f>IFERROR(IF(C6=0,"—",ROUND((G6*3600*F6*(E6/100))/C6,0)),"—")</f>
        <v/>
      </c>
      <c r="I6" s="9" t="n">
        <v>0</v>
      </c>
      <c r="J6" s="11">
        <f>IFERROR(IF(OR(H6="—",H6=0),"—",ROUND(I6/H6*G6,1)),"—")</f>
        <v/>
      </c>
      <c r="K6" s="12" t="inlineStr">
        <is>
          <t>Y</t>
        </is>
      </c>
      <c r="L6" s="9" t="n">
        <v>1</v>
      </c>
      <c r="M6" s="13" t="inlineStr"/>
    </row>
    <row r="7" ht="22" customHeight="1">
      <c r="A7" s="7" t="n">
        <v>3</v>
      </c>
      <c r="B7" s="8" t="inlineStr"/>
      <c r="C7" s="9" t="n">
        <v>0</v>
      </c>
      <c r="D7" s="9" t="n">
        <v>0</v>
      </c>
      <c r="E7" s="9" t="n">
        <v>95</v>
      </c>
      <c r="F7" s="9" t="n">
        <v>2</v>
      </c>
      <c r="G7" s="9" t="n">
        <v>8</v>
      </c>
      <c r="H7" s="10">
        <f>IFERROR(IF(C7=0,"—",ROUND((G7*3600*F7*(E7/100))/C7,0)),"—")</f>
        <v/>
      </c>
      <c r="I7" s="9" t="n">
        <v>0</v>
      </c>
      <c r="J7" s="11">
        <f>IFERROR(IF(OR(H7="—",H7=0),"—",ROUND(I7/H7*G7,1)),"—")</f>
        <v/>
      </c>
      <c r="K7" s="12" t="inlineStr">
        <is>
          <t>Y</t>
        </is>
      </c>
      <c r="L7" s="9" t="n">
        <v>1</v>
      </c>
      <c r="M7" s="8" t="inlineStr"/>
    </row>
    <row r="8" ht="22" customHeight="1">
      <c r="A8" s="7" t="n">
        <v>4</v>
      </c>
      <c r="B8" s="13" t="inlineStr"/>
      <c r="C8" s="9" t="n">
        <v>0</v>
      </c>
      <c r="D8" s="9" t="n">
        <v>0</v>
      </c>
      <c r="E8" s="9" t="n">
        <v>95</v>
      </c>
      <c r="F8" s="9" t="n">
        <v>2</v>
      </c>
      <c r="G8" s="9" t="n">
        <v>8</v>
      </c>
      <c r="H8" s="10">
        <f>IFERROR(IF(C8=0,"—",ROUND((G8*3600*F8*(E8/100))/C8,0)),"—")</f>
        <v/>
      </c>
      <c r="I8" s="9" t="n">
        <v>0</v>
      </c>
      <c r="J8" s="11">
        <f>IFERROR(IF(OR(H8="—",H8=0),"—",ROUND(I8/H8*G8,1)),"—")</f>
        <v/>
      </c>
      <c r="K8" s="12" t="inlineStr">
        <is>
          <t>Y</t>
        </is>
      </c>
      <c r="L8" s="9" t="n">
        <v>1</v>
      </c>
      <c r="M8" s="13" t="inlineStr"/>
    </row>
    <row r="9" ht="22" customHeight="1">
      <c r="A9" s="7" t="n">
        <v>5</v>
      </c>
      <c r="B9" s="8" t="inlineStr"/>
      <c r="C9" s="9" t="n">
        <v>0</v>
      </c>
      <c r="D9" s="9" t="n">
        <v>0</v>
      </c>
      <c r="E9" s="9" t="n">
        <v>95</v>
      </c>
      <c r="F9" s="9" t="n">
        <v>2</v>
      </c>
      <c r="G9" s="9" t="n">
        <v>8</v>
      </c>
      <c r="H9" s="10">
        <f>IFERROR(IF(C9=0,"—",ROUND((G9*3600*F9*(E9/100))/C9,0)),"—")</f>
        <v/>
      </c>
      <c r="I9" s="9" t="n">
        <v>0</v>
      </c>
      <c r="J9" s="11">
        <f>IFERROR(IF(OR(H9="—",H9=0),"—",ROUND(I9/H9*G9,1)),"—")</f>
        <v/>
      </c>
      <c r="K9" s="12" t="inlineStr">
        <is>
          <t>Y</t>
        </is>
      </c>
      <c r="L9" s="9" t="n">
        <v>1</v>
      </c>
      <c r="M9" s="8" t="inlineStr"/>
    </row>
    <row r="10" ht="22" customHeight="1">
      <c r="A10" s="7" t="n">
        <v>6</v>
      </c>
      <c r="B10" s="13" t="inlineStr"/>
      <c r="C10" s="9" t="n">
        <v>0</v>
      </c>
      <c r="D10" s="9" t="n">
        <v>0</v>
      </c>
      <c r="E10" s="9" t="n">
        <v>95</v>
      </c>
      <c r="F10" s="9" t="n">
        <v>2</v>
      </c>
      <c r="G10" s="9" t="n">
        <v>8</v>
      </c>
      <c r="H10" s="10">
        <f>IFERROR(IF(C10=0,"—",ROUND((G10*3600*F10*(E10/100))/C10,0)),"—")</f>
        <v/>
      </c>
      <c r="I10" s="9" t="n">
        <v>0</v>
      </c>
      <c r="J10" s="11">
        <f>IFERROR(IF(OR(H10="—",H10=0),"—",ROUND(I10/H10*G10,1)),"—")</f>
        <v/>
      </c>
      <c r="K10" s="12" t="inlineStr">
        <is>
          <t>Y</t>
        </is>
      </c>
      <c r="L10" s="9" t="n">
        <v>1</v>
      </c>
      <c r="M10" s="13" t="inlineStr"/>
    </row>
    <row r="11" ht="22" customHeight="1">
      <c r="A11" s="7" t="n">
        <v>7</v>
      </c>
      <c r="B11" s="8" t="inlineStr"/>
      <c r="C11" s="9" t="n">
        <v>0</v>
      </c>
      <c r="D11" s="9" t="n">
        <v>0</v>
      </c>
      <c r="E11" s="9" t="n">
        <v>95</v>
      </c>
      <c r="F11" s="9" t="n">
        <v>2</v>
      </c>
      <c r="G11" s="9" t="n">
        <v>8</v>
      </c>
      <c r="H11" s="10">
        <f>IFERROR(IF(C11=0,"—",ROUND((G11*3600*F11*(E11/100))/C11,0)),"—")</f>
        <v/>
      </c>
      <c r="I11" s="9" t="n">
        <v>0</v>
      </c>
      <c r="J11" s="11">
        <f>IFERROR(IF(OR(H11="—",H11=0),"—",ROUND(I11/H11*G11,1)),"—")</f>
        <v/>
      </c>
      <c r="K11" s="12" t="inlineStr">
        <is>
          <t>Y</t>
        </is>
      </c>
      <c r="L11" s="9" t="n">
        <v>1</v>
      </c>
      <c r="M11" s="8" t="inlineStr"/>
    </row>
    <row r="12" ht="22" customHeight="1">
      <c r="A12" s="7" t="n">
        <v>8</v>
      </c>
      <c r="B12" s="13" t="inlineStr"/>
      <c r="C12" s="9" t="n">
        <v>0</v>
      </c>
      <c r="D12" s="9" t="n">
        <v>0</v>
      </c>
      <c r="E12" s="9" t="n">
        <v>95</v>
      </c>
      <c r="F12" s="9" t="n">
        <v>2</v>
      </c>
      <c r="G12" s="9" t="n">
        <v>8</v>
      </c>
      <c r="H12" s="10">
        <f>IFERROR(IF(C12=0,"—",ROUND((G12*3600*F12*(E12/100))/C12,0)),"—")</f>
        <v/>
      </c>
      <c r="I12" s="9" t="n">
        <v>0</v>
      </c>
      <c r="J12" s="11">
        <f>IFERROR(IF(OR(H12="—",H12=0),"—",ROUND(I12/H12*G12,1)),"—")</f>
        <v/>
      </c>
      <c r="K12" s="12" t="inlineStr">
        <is>
          <t>Y</t>
        </is>
      </c>
      <c r="L12" s="9" t="n">
        <v>1</v>
      </c>
      <c r="M12" s="13" t="inlineStr"/>
    </row>
    <row r="13" ht="22" customHeight="1">
      <c r="A13" s="7" t="n">
        <v>9</v>
      </c>
      <c r="B13" s="8" t="inlineStr"/>
      <c r="C13" s="9" t="n">
        <v>0</v>
      </c>
      <c r="D13" s="9" t="n">
        <v>0</v>
      </c>
      <c r="E13" s="9" t="n">
        <v>95</v>
      </c>
      <c r="F13" s="9" t="n">
        <v>2</v>
      </c>
      <c r="G13" s="9" t="n">
        <v>8</v>
      </c>
      <c r="H13" s="10">
        <f>IFERROR(IF(C13=0,"—",ROUND((G13*3600*F13*(E13/100))/C13,0)),"—")</f>
        <v/>
      </c>
      <c r="I13" s="9" t="n">
        <v>0</v>
      </c>
      <c r="J13" s="11">
        <f>IFERROR(IF(OR(H13="—",H13=0),"—",ROUND(I13/H13*G13,1)),"—")</f>
        <v/>
      </c>
      <c r="K13" s="12" t="inlineStr">
        <is>
          <t>Y</t>
        </is>
      </c>
      <c r="L13" s="9" t="n">
        <v>1</v>
      </c>
      <c r="M13" s="8" t="inlineStr"/>
    </row>
    <row r="14" ht="22" customHeight="1">
      <c r="A14" s="7" t="n">
        <v>10</v>
      </c>
      <c r="B14" s="13" t="inlineStr"/>
      <c r="C14" s="9" t="n">
        <v>0</v>
      </c>
      <c r="D14" s="9" t="n">
        <v>0</v>
      </c>
      <c r="E14" s="9" t="n">
        <v>95</v>
      </c>
      <c r="F14" s="9" t="n">
        <v>2</v>
      </c>
      <c r="G14" s="9" t="n">
        <v>8</v>
      </c>
      <c r="H14" s="10">
        <f>IFERROR(IF(C14=0,"—",ROUND((G14*3600*F14*(E14/100))/C14,0)),"—")</f>
        <v/>
      </c>
      <c r="I14" s="9" t="n">
        <v>0</v>
      </c>
      <c r="J14" s="11">
        <f>IFERROR(IF(OR(H14="—",H14=0),"—",ROUND(I14/H14*G14,1)),"—")</f>
        <v/>
      </c>
      <c r="K14" s="12" t="inlineStr">
        <is>
          <t>Y</t>
        </is>
      </c>
      <c r="L14" s="9" t="n">
        <v>1</v>
      </c>
      <c r="M14" s="13" t="inlineStr"/>
    </row>
    <row r="15" ht="22" customHeight="1">
      <c r="A15" s="7" t="n">
        <v>11</v>
      </c>
      <c r="B15" s="8" t="inlineStr"/>
      <c r="C15" s="9" t="n">
        <v>0</v>
      </c>
      <c r="D15" s="9" t="n">
        <v>0</v>
      </c>
      <c r="E15" s="9" t="n">
        <v>95</v>
      </c>
      <c r="F15" s="9" t="n">
        <v>2</v>
      </c>
      <c r="G15" s="9" t="n">
        <v>8</v>
      </c>
      <c r="H15" s="10">
        <f>IFERROR(IF(C15=0,"—",ROUND((G15*3600*F15*(E15/100))/C15,0)),"—")</f>
        <v/>
      </c>
      <c r="I15" s="9" t="n">
        <v>0</v>
      </c>
      <c r="J15" s="11">
        <f>IFERROR(IF(OR(H15="—",H15=0),"—",ROUND(I15/H15*G15,1)),"—")</f>
        <v/>
      </c>
      <c r="K15" s="12" t="inlineStr">
        <is>
          <t>Y</t>
        </is>
      </c>
      <c r="L15" s="9" t="n">
        <v>1</v>
      </c>
      <c r="M15" s="8" t="inlineStr"/>
    </row>
    <row r="16" ht="22" customHeight="1">
      <c r="A16" s="7" t="n">
        <v>12</v>
      </c>
      <c r="B16" s="13" t="inlineStr"/>
      <c r="C16" s="9" t="n">
        <v>0</v>
      </c>
      <c r="D16" s="9" t="n">
        <v>0</v>
      </c>
      <c r="E16" s="9" t="n">
        <v>95</v>
      </c>
      <c r="F16" s="9" t="n">
        <v>2</v>
      </c>
      <c r="G16" s="9" t="n">
        <v>8</v>
      </c>
      <c r="H16" s="10">
        <f>IFERROR(IF(C16=0,"—",ROUND((G16*3600*F16*(E16/100))/C16,0)),"—")</f>
        <v/>
      </c>
      <c r="I16" s="9" t="n">
        <v>0</v>
      </c>
      <c r="J16" s="11">
        <f>IFERROR(IF(OR(H16="—",H16=0),"—",ROUND(I16/H16*G16,1)),"—")</f>
        <v/>
      </c>
      <c r="K16" s="12" t="inlineStr">
        <is>
          <t>Y</t>
        </is>
      </c>
      <c r="L16" s="9" t="n">
        <v>1</v>
      </c>
      <c r="M16" s="13" t="inlineStr"/>
    </row>
    <row r="17" ht="22" customHeight="1">
      <c r="A17" s="7" t="n">
        <v>13</v>
      </c>
      <c r="B17" s="8" t="inlineStr"/>
      <c r="C17" s="9" t="n">
        <v>0</v>
      </c>
      <c r="D17" s="9" t="n">
        <v>0</v>
      </c>
      <c r="E17" s="9" t="n">
        <v>95</v>
      </c>
      <c r="F17" s="9" t="n">
        <v>2</v>
      </c>
      <c r="G17" s="9" t="n">
        <v>8</v>
      </c>
      <c r="H17" s="10">
        <f>IFERROR(IF(C17=0,"—",ROUND((G17*3600*F17*(E17/100))/C17,0)),"—")</f>
        <v/>
      </c>
      <c r="I17" s="9" t="n">
        <v>0</v>
      </c>
      <c r="J17" s="11">
        <f>IFERROR(IF(OR(H17="—",H17=0),"—",ROUND(I17/H17*G17,1)),"—")</f>
        <v/>
      </c>
      <c r="K17" s="12" t="inlineStr">
        <is>
          <t>Y</t>
        </is>
      </c>
      <c r="L17" s="9" t="n">
        <v>1</v>
      </c>
      <c r="M17" s="8" t="inlineStr"/>
    </row>
    <row r="18" ht="22" customHeight="1">
      <c r="A18" s="7" t="n">
        <v>14</v>
      </c>
      <c r="B18" s="13" t="inlineStr"/>
      <c r="C18" s="9" t="n">
        <v>0</v>
      </c>
      <c r="D18" s="9" t="n">
        <v>0</v>
      </c>
      <c r="E18" s="9" t="n">
        <v>95</v>
      </c>
      <c r="F18" s="9" t="n">
        <v>2</v>
      </c>
      <c r="G18" s="9" t="n">
        <v>8</v>
      </c>
      <c r="H18" s="10">
        <f>IFERROR(IF(C18=0,"—",ROUND((G18*3600*F18*(E18/100))/C18,0)),"—")</f>
        <v/>
      </c>
      <c r="I18" s="9" t="n">
        <v>0</v>
      </c>
      <c r="J18" s="11">
        <f>IFERROR(IF(OR(H18="—",H18=0),"—",ROUND(I18/H18*G18,1)),"—")</f>
        <v/>
      </c>
      <c r="K18" s="12" t="inlineStr">
        <is>
          <t>Y</t>
        </is>
      </c>
      <c r="L18" s="9" t="n">
        <v>1</v>
      </c>
      <c r="M18" s="13" t="inlineStr"/>
    </row>
    <row r="19" ht="22" customHeight="1">
      <c r="A19" s="7" t="n">
        <v>15</v>
      </c>
      <c r="B19" s="8" t="inlineStr"/>
      <c r="C19" s="9" t="n">
        <v>0</v>
      </c>
      <c r="D19" s="9" t="n">
        <v>0</v>
      </c>
      <c r="E19" s="9" t="n">
        <v>95</v>
      </c>
      <c r="F19" s="9" t="n">
        <v>2</v>
      </c>
      <c r="G19" s="9" t="n">
        <v>8</v>
      </c>
      <c r="H19" s="10">
        <f>IFERROR(IF(C19=0,"—",ROUND((G19*3600*F19*(E19/100))/C19,0)),"—")</f>
        <v/>
      </c>
      <c r="I19" s="9" t="n">
        <v>0</v>
      </c>
      <c r="J19" s="11">
        <f>IFERROR(IF(OR(H19="—",H19=0),"—",ROUND(I19/H19*G19,1)),"—")</f>
        <v/>
      </c>
      <c r="K19" s="12" t="inlineStr">
        <is>
          <t>Y</t>
        </is>
      </c>
      <c r="L19" s="9" t="n">
        <v>1</v>
      </c>
      <c r="M19" s="8" t="inlineStr"/>
    </row>
    <row r="21" ht="24" customHeight="1">
      <c r="A21" s="14" t="inlineStr">
        <is>
          <t>VALUE STREAM SUMMARY</t>
        </is>
      </c>
    </row>
    <row r="22" ht="20" customHeight="1">
      <c r="A22" s="15" t="inlineStr">
        <is>
          <t>Total Cycle Time (all steps, seconds)</t>
        </is>
      </c>
      <c r="C22" s="16">
        <f>SUMIF(K5:K19,"Y",C5:C19)</f>
        <v/>
      </c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 ht="20" customHeight="1">
      <c r="A23" s="15" t="inlineStr">
        <is>
          <t>Total Lead Time (incl. queue, hours)</t>
        </is>
      </c>
      <c r="C23" s="18">
        <f>SUMPRODUCT((K5:K19="Y")*C5:C19)/3600+SUMIF(K5:K19,"Y",J5:J19)</f>
        <v/>
      </c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</row>
    <row r="24" ht="20" customHeight="1">
      <c r="A24" s="15" t="inlineStr">
        <is>
          <t>Value-Added Time (Y steps only, seconds)</t>
        </is>
      </c>
      <c r="C24" s="16">
        <f>SUMIF(K5:K19,"Y",C5:C19)</f>
        <v/>
      </c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 ht="20" customHeight="1">
      <c r="A25" s="15" t="inlineStr">
        <is>
          <t>Non-Value-Added Time (N steps, seconds)</t>
        </is>
      </c>
      <c r="C25" s="16">
        <f>SUMIF(K5:K19,"N",C5:C19)</f>
        <v/>
      </c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 ht="20" customHeight="1">
      <c r="A26" s="15" t="inlineStr">
        <is>
          <t>Process Efficiency %</t>
        </is>
      </c>
      <c r="C26" s="19">
        <f>IFERROR(C23/(C23+C24),0)</f>
        <v/>
      </c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 ht="20" customHeight="1">
      <c r="A27" s="15" t="inlineStr">
        <is>
          <t>Total Operators</t>
        </is>
      </c>
      <c r="C27" s="16">
        <f>SUM(L5:L19)</f>
        <v/>
      </c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</row>
    <row r="28" ht="20" customHeight="1">
      <c r="A28" s="15" t="inlineStr">
        <is>
          <t>Total Inventory (units)</t>
        </is>
      </c>
      <c r="C28" s="16">
        <f>SUM(I5:I19)</f>
        <v/>
      </c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</sheetData>
  <autoFilter ref="A4:M4"/>
  <mergeCells count="17">
    <mergeCell ref="D27:M27"/>
    <mergeCell ref="D23:M23"/>
    <mergeCell ref="A21:B21"/>
    <mergeCell ref="A24:B24"/>
    <mergeCell ref="A26:B26"/>
    <mergeCell ref="A1:M1"/>
    <mergeCell ref="D22:M22"/>
    <mergeCell ref="A25:B25"/>
    <mergeCell ref="D26:M26"/>
    <mergeCell ref="A27:B27"/>
    <mergeCell ref="A28:B28"/>
    <mergeCell ref="D25:M25"/>
    <mergeCell ref="A23:B23"/>
    <mergeCell ref="D24:M24"/>
    <mergeCell ref="A2:M2"/>
    <mergeCell ref="A22:B22"/>
    <mergeCell ref="D28:M28"/>
  </mergeCells>
  <dataValidations count="15">
    <dataValidation sqref="K5" showDropDown="0" showInputMessage="0" showErrorMessage="0" allowBlank="0" type="list">
      <formula1>"Y,N"</formula1>
    </dataValidation>
    <dataValidation sqref="K6" showDropDown="0" showInputMessage="0" showErrorMessage="0" allowBlank="0" type="list">
      <formula1>"Y,N"</formula1>
    </dataValidation>
    <dataValidation sqref="K7" showDropDown="0" showInputMessage="0" showErrorMessage="0" allowBlank="0" type="list">
      <formula1>"Y,N"</formula1>
    </dataValidation>
    <dataValidation sqref="K8" showDropDown="0" showInputMessage="0" showErrorMessage="0" allowBlank="0" type="list">
      <formula1>"Y,N"</formula1>
    </dataValidation>
    <dataValidation sqref="K9" showDropDown="0" showInputMessage="0" showErrorMessage="0" allowBlank="0" type="list">
      <formula1>"Y,N"</formula1>
    </dataValidation>
    <dataValidation sqref="K10" showDropDown="0" showInputMessage="0" showErrorMessage="0" allowBlank="0" type="list">
      <formula1>"Y,N"</formula1>
    </dataValidation>
    <dataValidation sqref="K11" showDropDown="0" showInputMessage="0" showErrorMessage="0" allowBlank="0" type="list">
      <formula1>"Y,N"</formula1>
    </dataValidation>
    <dataValidation sqref="K12" showDropDown="0" showInputMessage="0" showErrorMessage="0" allowBlank="0" type="list">
      <formula1>"Y,N"</formula1>
    </dataValidation>
    <dataValidation sqref="K13" showDropDown="0" showInputMessage="0" showErrorMessage="0" allowBlank="0" type="list">
      <formula1>"Y,N"</formula1>
    </dataValidation>
    <dataValidation sqref="K14" showDropDown="0" showInputMessage="0" showErrorMessage="0" allowBlank="0" type="list">
      <formula1>"Y,N"</formula1>
    </dataValidation>
    <dataValidation sqref="K15" showDropDown="0" showInputMessage="0" showErrorMessage="0" allowBlank="0" type="list">
      <formula1>"Y,N"</formula1>
    </dataValidation>
    <dataValidation sqref="K16" showDropDown="0" showInputMessage="0" showErrorMessage="0" allowBlank="0" type="list">
      <formula1>"Y,N"</formula1>
    </dataValidation>
    <dataValidation sqref="K17" showDropDown="0" showInputMessage="0" showErrorMessage="0" allowBlank="0" type="list">
      <formula1>"Y,N"</formula1>
    </dataValidation>
    <dataValidation sqref="K18" showDropDown="0" showInputMessage="0" showErrorMessage="0" allowBlank="0" type="list">
      <formula1>"Y,N"</formula1>
    </dataValidation>
    <dataValidation sqref="K1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2026-06-16T05:57:37Z</dcterms:created>
  <dcterms:modified xmlns:dcterms="http://purl.org/dc/terms/" xmlns:xsi="http://www.w3.org/2001/XMLSchema-instance" xsi:type="dcterms:W3CDTF">2026-06-16T05:57:37Z</dcterms:modified>
</cp:coreProperties>
</file>