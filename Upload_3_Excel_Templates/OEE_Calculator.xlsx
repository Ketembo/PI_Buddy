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1"/>
    </font>
    <font>
      <name val="Arial"/>
      <i val="1"/>
      <color rgb="00999999"/>
      <sz val="8"/>
    </font>
    <font>
      <name val="Arial"/>
      <b val="1"/>
      <color rgb="00FFFFFF"/>
      <sz val="14"/>
    </font>
    <font>
      <name val="Arial"/>
      <b val="1"/>
      <color rgb="00375623"/>
    </font>
    <font>
      <name val="Arial"/>
      <b val="1"/>
      <color rgb="00FFFFFF"/>
      <sz val="13"/>
    </font>
    <font>
      <name val="Arial"/>
      <b val="1"/>
      <color rgb="00FFFFFF"/>
      <sz val="24"/>
    </font>
    <font>
      <name val="Arial"/>
      <b val="1"/>
      <color rgb="00633806"/>
      <sz val="11"/>
    </font>
    <font>
      <name val="Arial"/>
      <b val="1"/>
      <color rgb="00375623"/>
      <sz val="10"/>
    </font>
    <font>
      <name val="Arial"/>
      <b val="1"/>
      <color rgb="00FFFFFF"/>
      <sz val="10"/>
    </font>
    <font>
      <name val="Arial"/>
      <color rgb="00633806"/>
      <sz val="8"/>
    </font>
  </fonts>
  <fills count="10">
    <fill>
      <patternFill/>
    </fill>
    <fill>
      <patternFill patternType="gray125"/>
    </fill>
    <fill>
      <patternFill patternType="solid">
        <fgColor rgb="00633806"/>
      </patternFill>
    </fill>
    <fill>
      <patternFill patternType="solid">
        <fgColor rgb="00BA751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1F5EE"/>
      </patternFill>
    </fill>
    <fill>
      <patternFill patternType="solid">
        <fgColor rgb="00FFF3D6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164" fontId="7" fillId="3" borderId="1" applyAlignment="1" pivotButton="0" quotePrefix="0" xfId="0">
      <alignment horizontal="center" vertical="center"/>
    </xf>
    <xf numFmtId="0" fontId="0" fillId="7" borderId="0" pivotButton="0" quotePrefix="0" xfId="0"/>
    <xf numFmtId="0" fontId="5" fillId="3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 wrapText="1"/>
    </xf>
    <xf numFmtId="0" fontId="8" fillId="8" borderId="0" pivotButton="0" quotePrefix="0" xfId="0"/>
    <xf numFmtId="0" fontId="9" fillId="9" borderId="0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 wrapText="1"/>
    </xf>
    <xf numFmtId="164" fontId="10" fillId="2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 wrapText="1"/>
    </xf>
    <xf numFmtId="0" fontId="12" fillId="8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14" fillId="7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33806"/>
    <outlinePr summaryBelow="1" summaryRight="1"/>
    <pageSetUpPr/>
  </sheetPr>
  <dimension ref="A1:H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12" customWidth="1" min="4" max="4"/>
    <col width="12" customWidth="1" min="5" max="5"/>
  </cols>
  <sheetData>
    <row r="1" ht="36" customHeight="1">
      <c r="A1" s="1" t="inlineStr">
        <is>
          <t>OEE Calculator — Overall Equipment Effectiveness</t>
        </is>
      </c>
    </row>
    <row r="2" ht="16" customHeight="1">
      <c r="A2" s="2" t="inlineStr">
        <is>
          <t>OEE = Availability × Performance × Quality  |  World Class target: ≥ 85%  |  Good: ≥ 65%</t>
        </is>
      </c>
    </row>
    <row r="3" ht="18" customHeight="1">
      <c r="A3" s="3" t="inlineStr">
        <is>
          <t>Machine:</t>
        </is>
      </c>
      <c r="B3" s="4" t="inlineStr"/>
      <c r="C3" s="3" t="inlineStr">
        <is>
          <t>Shift:</t>
        </is>
      </c>
      <c r="D3" s="4" t="inlineStr"/>
      <c r="E3" s="3" t="inlineStr">
        <is>
          <t>Date:</t>
        </is>
      </c>
      <c r="F3" s="4" t="inlineStr"/>
      <c r="G3" s="3" t="inlineStr">
        <is>
          <t>Operator:</t>
        </is>
      </c>
      <c r="H3" s="4" t="inlineStr"/>
    </row>
    <row r="4" ht="22" customHeight="1">
      <c r="A4" s="5" t="inlineStr">
        <is>
          <t>AVAILABILITY INPUTS</t>
        </is>
      </c>
    </row>
    <row r="5" ht="20" customHeight="1">
      <c r="A5" s="3" t="inlineStr">
        <is>
          <t>Planned Production Time (minutes)</t>
        </is>
      </c>
      <c r="B5" s="6" t="n">
        <v>480</v>
      </c>
      <c r="C5" s="7" t="inlineStr">
        <is>
          <t>Shift length minus planned breaks/downtime</t>
        </is>
      </c>
    </row>
    <row r="6" ht="20" customHeight="1">
      <c r="A6" s="3" t="inlineStr">
        <is>
          <t>Unplanned Downtime (minutes)</t>
        </is>
      </c>
      <c r="B6" s="6" t="n">
        <v>45</v>
      </c>
      <c r="C6" s="7" t="inlineStr">
        <is>
          <t>Breakdowns + waiting + unplanned setup overruns</t>
        </is>
      </c>
    </row>
    <row r="7" ht="20" customHeight="1">
      <c r="A7" s="3" t="inlineStr">
        <is>
          <t>Planned Downtime (minutes)</t>
        </is>
      </c>
      <c r="B7" s="6" t="n">
        <v>30</v>
      </c>
      <c r="C7" s="7" t="inlineStr">
        <is>
          <t>Scheduled breaks, PMs, planned changeovers</t>
        </is>
      </c>
    </row>
    <row r="8" ht="24" customHeight="1">
      <c r="A8" s="8" t="inlineStr">
        <is>
          <t>AVAILABILITY =</t>
        </is>
      </c>
      <c r="B8" s="9">
        <f>(B5-B6-B7)/B5</f>
        <v/>
      </c>
      <c r="C8" s="10" t="n"/>
    </row>
    <row r="10" ht="22" customHeight="1">
      <c r="A10" s="11" t="inlineStr">
        <is>
          <t>PERFORMANCE INPUTS</t>
        </is>
      </c>
    </row>
    <row r="11" ht="20" customHeight="1">
      <c r="A11" s="3" t="inlineStr">
        <is>
          <t>Ideal Cycle Time (seconds per unit)</t>
        </is>
      </c>
      <c r="B11" s="6" t="n">
        <v>12</v>
      </c>
      <c r="C11" s="7" t="inlineStr">
        <is>
          <t>Theoretical fastest time per unit at full speed</t>
        </is>
      </c>
    </row>
    <row r="12" ht="20" customHeight="1">
      <c r="A12" s="3" t="inlineStr">
        <is>
          <t>Total Units Run (good + bad)</t>
        </is>
      </c>
      <c r="B12" s="6" t="n">
        <v>1800</v>
      </c>
      <c r="C12" s="7" t="inlineStr">
        <is>
          <t>Parts produced during the actual run time</t>
        </is>
      </c>
    </row>
    <row r="13" ht="24" customHeight="1">
      <c r="A13" s="12" t="inlineStr">
        <is>
          <t>PERFORMANCE =</t>
        </is>
      </c>
      <c r="B13" s="9">
        <f>(B12*B11/60)/(B5-B6)</f>
        <v/>
      </c>
      <c r="C13" s="10" t="n"/>
    </row>
    <row r="15" ht="22" customHeight="1">
      <c r="A15" s="5" t="inlineStr">
        <is>
          <t>QUALITY INPUTS</t>
        </is>
      </c>
    </row>
    <row r="16" ht="20" customHeight="1">
      <c r="A16" s="3" t="inlineStr">
        <is>
          <t>Total Units Produced</t>
        </is>
      </c>
      <c r="B16" s="13">
        <f>B12</f>
        <v/>
      </c>
      <c r="C16" s="7" t="inlineStr">
        <is>
          <t>Links from Performance (auto-filled)</t>
        </is>
      </c>
    </row>
    <row r="17" ht="20" customHeight="1">
      <c r="A17" s="3" t="inlineStr">
        <is>
          <t>Defective Units (scrap + rework)</t>
        </is>
      </c>
      <c r="B17" s="6" t="n">
        <v>15</v>
      </c>
      <c r="C17" s="7" t="inlineStr">
        <is>
          <t>Total units requiring rework or scrapped</t>
        </is>
      </c>
    </row>
    <row r="18" ht="24" customHeight="1">
      <c r="A18" s="8" t="inlineStr">
        <is>
          <t>QUALITY =</t>
        </is>
      </c>
      <c r="B18" s="9">
        <f>(B16-B17)/B16</f>
        <v/>
      </c>
      <c r="C18" s="10" t="n"/>
    </row>
    <row r="20" ht="36" customHeight="1">
      <c r="A20" s="14" t="inlineStr">
        <is>
          <t>OEE  =  Availability  ×  Performance  ×  Quality</t>
        </is>
      </c>
    </row>
    <row r="21" ht="44" customHeight="1">
      <c r="A21" s="15" t="inlineStr">
        <is>
          <t>OEE RESULT:</t>
        </is>
      </c>
      <c r="B21" s="16">
        <f>B8*B13*B18</f>
        <v/>
      </c>
      <c r="C21" s="17">
        <f>IF(B21&gt;=0.85,"★★★ WORLD CLASS ≥85%",IF(B21&gt;=0.65,"★★ GOOD ≥65%",IF(B21&gt;=0.45,"★ NEEDS IMPROVEMENT","✗ CRITICAL &lt;45%")))</f>
        <v/>
      </c>
      <c r="D21" s="10" t="n"/>
    </row>
    <row r="23" ht="22" customHeight="1">
      <c r="A23" s="18" t="inlineStr">
        <is>
          <t>BENCHMARKS:   &lt;45% Critical   45–64% Poor   65–84% Acceptable   ≥85% World Class</t>
        </is>
      </c>
    </row>
    <row r="25" ht="22" customHeight="1">
      <c r="A25" s="19" t="inlineStr">
        <is>
          <t>SIX BIG LOSSES — Enter actuals to identify largest loss</t>
        </is>
      </c>
    </row>
    <row r="26" ht="20" customHeight="1">
      <c r="A26" s="3" t="inlineStr">
        <is>
          <t>Unplanned Breakdowns (min)</t>
        </is>
      </c>
      <c r="B26" s="6" t="n">
        <v>0</v>
      </c>
      <c r="C26" s="20" t="inlineStr">
        <is>
          <t>Availability loss</t>
        </is>
      </c>
      <c r="D26" s="21" t="n"/>
      <c r="E26" s="22" t="n"/>
    </row>
    <row r="27" ht="20" customHeight="1">
      <c r="A27" s="3" t="inlineStr">
        <is>
          <t>Planned Downtime (min)</t>
        </is>
      </c>
      <c r="B27" s="6" t="n">
        <v>0</v>
      </c>
      <c r="C27" s="20" t="inlineStr">
        <is>
          <t>Availability loss</t>
        </is>
      </c>
      <c r="D27" s="21" t="n"/>
      <c r="E27" s="22" t="n"/>
    </row>
    <row r="28" ht="20" customHeight="1">
      <c r="A28" s="3" t="inlineStr">
        <is>
          <t>Minor Stoppages (min)</t>
        </is>
      </c>
      <c r="B28" s="6" t="n">
        <v>0</v>
      </c>
      <c r="C28" s="20" t="inlineStr">
        <is>
          <t>Performance loss</t>
        </is>
      </c>
      <c r="D28" s="21" t="n"/>
      <c r="E28" s="22" t="n"/>
    </row>
    <row r="29" ht="20" customHeight="1">
      <c r="A29" s="3" t="inlineStr">
        <is>
          <t>Reduced Speed (% of ideal)</t>
        </is>
      </c>
      <c r="B29" s="6" t="n">
        <v>0</v>
      </c>
      <c r="C29" s="20" t="inlineStr">
        <is>
          <t>Performance loss</t>
        </is>
      </c>
      <c r="D29" s="21" t="n"/>
      <c r="E29" s="22" t="n"/>
    </row>
    <row r="30" ht="20" customHeight="1">
      <c r="A30" s="3" t="inlineStr">
        <is>
          <t>Startup Rejects (units)</t>
        </is>
      </c>
      <c r="B30" s="6" t="n">
        <v>0</v>
      </c>
      <c r="C30" s="20" t="inlineStr">
        <is>
          <t>Quality loss</t>
        </is>
      </c>
      <c r="D30" s="21" t="n"/>
      <c r="E30" s="22" t="n"/>
    </row>
    <row r="31" ht="20" customHeight="1">
      <c r="A31" s="3" t="inlineStr">
        <is>
          <t>Production Rejects/Rework (units)</t>
        </is>
      </c>
      <c r="B31" s="6" t="n">
        <v>0</v>
      </c>
      <c r="C31" s="20" t="inlineStr">
        <is>
          <t>Quality loss</t>
        </is>
      </c>
      <c r="D31" s="21" t="n"/>
      <c r="E31" s="22" t="n"/>
    </row>
  </sheetData>
  <mergeCells count="25">
    <mergeCell ref="C6:D6"/>
    <mergeCell ref="A15:E15"/>
    <mergeCell ref="C31:E31"/>
    <mergeCell ref="C5:D5"/>
    <mergeCell ref="A1:E1"/>
    <mergeCell ref="D21:E21"/>
    <mergeCell ref="C27:E27"/>
    <mergeCell ref="C16:D16"/>
    <mergeCell ref="A25:E25"/>
    <mergeCell ref="C8:E8"/>
    <mergeCell ref="C12:D12"/>
    <mergeCell ref="C28:E28"/>
    <mergeCell ref="C13:E13"/>
    <mergeCell ref="A2:E2"/>
    <mergeCell ref="C11:D11"/>
    <mergeCell ref="C18:E18"/>
    <mergeCell ref="A23:E23"/>
    <mergeCell ref="C30:E30"/>
    <mergeCell ref="C17:D17"/>
    <mergeCell ref="A4:E4"/>
    <mergeCell ref="C7:D7"/>
    <mergeCell ref="A20:E20"/>
    <mergeCell ref="A10:E10"/>
    <mergeCell ref="C26:E26"/>
    <mergeCell ref="C29:E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2026-06-16T05:57:37Z</dcterms:created>
  <dcterms:modified xmlns:dcterms="http://purl.org/dc/terms/" xmlns:xsi="http://www.w3.org/2001/XMLSchema-instance" xsi:type="dcterms:W3CDTF">2026-06-16T05:57:37Z</dcterms:modified>
</cp:coreProperties>
</file>