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 &amp; Whisker Plot — Data Ana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FFFFFF"/>
      <sz val="8.5"/>
    </font>
    <font>
      <name val="Arial"/>
      <b val="1"/>
      <color rgb="00375623"/>
      <sz val="10"/>
    </font>
    <font>
      <name val="Arial"/>
      <b val="1"/>
      <color rgb="00333333"/>
      <sz val="10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00185FA5"/>
      </patternFill>
    </fill>
    <fill>
      <patternFill patternType="solid">
        <fgColor rgb="185FA5C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EF5FC"/>
      </patternFill>
    </fill>
    <fill>
      <patternFill patternType="solid">
        <fgColor rgb="000C447C"/>
      </patternFill>
    </fill>
    <fill>
      <patternFill patternType="solid">
        <fgColor rgb="00E2EFDA"/>
      </patternFill>
    </fill>
    <fill>
      <patternFill patternType="solid">
        <fgColor rgb="00E6F1FB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/>
    </xf>
    <xf numFmtId="0" fontId="6" fillId="2" borderId="2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8" borderId="0" applyAlignment="1" pivotButton="0" quotePrefix="0" xfId="0">
      <alignment horizontal="left" vertical="center"/>
    </xf>
    <xf numFmtId="0" fontId="6" fillId="8" borderId="2" applyAlignment="1" pivotButton="0" quotePrefix="0" xfId="0">
      <alignment horizontal="center" vertical="center" wrapText="1"/>
    </xf>
    <xf numFmtId="2" fontId="7" fillId="9" borderId="1" applyAlignment="1" pivotButton="0" quotePrefix="0" xfId="0">
      <alignment horizontal="center" vertical="center"/>
    </xf>
    <xf numFmtId="2" fontId="8" fillId="7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78ADD"/>
    <outlinePr summaryBelow="1" summaryRight="1"/>
    <pageSetUpPr/>
  </sheetPr>
  <dimension ref="A1:L5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4" customHeight="1">
      <c r="A1" s="1" t="inlineStr">
        <is>
          <t>Box &amp; Whisker Plot — Data Analysis</t>
        </is>
      </c>
    </row>
    <row r="2" ht="15" customHeight="1">
      <c r="A2" s="2" t="inlineStr">
        <is>
          <t>Visualise data distribution — median, quartiles, spread, and outliers — for group comparison</t>
        </is>
      </c>
    </row>
    <row r="3" ht="18" customHeight="1">
      <c r="A3" s="3" t="inlineStr">
        <is>
          <t>Variable:</t>
        </is>
      </c>
      <c r="B3" s="4" t="inlineStr"/>
      <c r="C3" s="4" t="inlineStr"/>
      <c r="D3" s="3" t="inlineStr">
        <is>
          <t>Groups:</t>
        </is>
      </c>
      <c r="E3" s="4" t="inlineStr"/>
      <c r="F3" s="4" t="inlineStr"/>
      <c r="G3" s="3" t="inlineStr">
        <is>
          <t>Analyst:</t>
        </is>
      </c>
      <c r="H3" s="4" t="inlineStr"/>
      <c r="I3" s="4" t="inlineStr"/>
      <c r="J3" s="3" t="inlineStr">
        <is>
          <t>Date:</t>
        </is>
      </c>
      <c r="K3" s="4" t="inlineStr"/>
      <c r="L3" s="4" t="inlineStr"/>
    </row>
    <row r="4" ht="20" customHeight="1">
      <c r="A4" s="5" t="inlineStr">
        <is>
          <t>DATA ENTRY (up to 4 groups)</t>
        </is>
      </c>
    </row>
    <row r="5" ht="28" customHeight="1">
      <c r="A5" s="6" t="inlineStr">
        <is>
          <t>Group A</t>
        </is>
      </c>
      <c r="B5" s="6" t="inlineStr">
        <is>
          <t>Group B</t>
        </is>
      </c>
      <c r="C5" s="6" t="inlineStr">
        <is>
          <t>Group C</t>
        </is>
      </c>
      <c r="D5" s="6" t="inlineStr">
        <is>
          <t>Group D</t>
        </is>
      </c>
    </row>
    <row r="6" ht="20" customHeight="1">
      <c r="A6" s="7" t="inlineStr"/>
      <c r="B6" s="7" t="inlineStr"/>
      <c r="C6" s="7" t="inlineStr"/>
      <c r="D6" s="7" t="inlineStr"/>
    </row>
    <row r="7" ht="20" customHeight="1">
      <c r="A7" s="8" t="inlineStr"/>
      <c r="B7" s="8" t="inlineStr"/>
      <c r="C7" s="8" t="inlineStr"/>
      <c r="D7" s="8" t="inlineStr"/>
    </row>
    <row r="8" ht="20" customHeight="1">
      <c r="A8" s="7" t="inlineStr"/>
      <c r="B8" s="7" t="inlineStr"/>
      <c r="C8" s="7" t="inlineStr"/>
      <c r="D8" s="7" t="inlineStr"/>
    </row>
    <row r="9" ht="20" customHeight="1">
      <c r="A9" s="8" t="inlineStr"/>
      <c r="B9" s="8" t="inlineStr"/>
      <c r="C9" s="8" t="inlineStr"/>
      <c r="D9" s="8" t="inlineStr"/>
    </row>
    <row r="10" ht="20" customHeight="1">
      <c r="A10" s="7" t="inlineStr"/>
      <c r="B10" s="7" t="inlineStr"/>
      <c r="C10" s="7" t="inlineStr"/>
      <c r="D10" s="7" t="inlineStr"/>
    </row>
    <row r="11" ht="20" customHeight="1">
      <c r="A11" s="8" t="inlineStr"/>
      <c r="B11" s="8" t="inlineStr"/>
      <c r="C11" s="8" t="inlineStr"/>
      <c r="D11" s="8" t="inlineStr"/>
    </row>
    <row r="12" ht="20" customHeight="1">
      <c r="A12" s="7" t="inlineStr"/>
      <c r="B12" s="7" t="inlineStr"/>
      <c r="C12" s="7" t="inlineStr"/>
      <c r="D12" s="7" t="inlineStr"/>
    </row>
    <row r="13" ht="20" customHeight="1">
      <c r="A13" s="8" t="inlineStr"/>
      <c r="B13" s="8" t="inlineStr"/>
      <c r="C13" s="8" t="inlineStr"/>
      <c r="D13" s="8" t="inlineStr"/>
    </row>
    <row r="14" ht="20" customHeight="1">
      <c r="A14" s="7" t="inlineStr"/>
      <c r="B14" s="7" t="inlineStr"/>
      <c r="C14" s="7" t="inlineStr"/>
      <c r="D14" s="7" t="inlineStr"/>
    </row>
    <row r="15" ht="20" customHeight="1">
      <c r="A15" s="8" t="inlineStr"/>
      <c r="B15" s="8" t="inlineStr"/>
      <c r="C15" s="8" t="inlineStr"/>
      <c r="D15" s="8" t="inlineStr"/>
    </row>
    <row r="16" ht="20" customHeight="1">
      <c r="A16" s="7" t="inlineStr"/>
      <c r="B16" s="7" t="inlineStr"/>
      <c r="C16" s="7" t="inlineStr"/>
      <c r="D16" s="7" t="inlineStr"/>
    </row>
    <row r="17" ht="20" customHeight="1">
      <c r="A17" s="8" t="inlineStr"/>
      <c r="B17" s="8" t="inlineStr"/>
      <c r="C17" s="8" t="inlineStr"/>
      <c r="D17" s="8" t="inlineStr"/>
    </row>
    <row r="18" ht="20" customHeight="1">
      <c r="A18" s="7" t="inlineStr"/>
      <c r="B18" s="7" t="inlineStr"/>
      <c r="C18" s="7" t="inlineStr"/>
      <c r="D18" s="7" t="inlineStr"/>
    </row>
    <row r="19" ht="20" customHeight="1">
      <c r="A19" s="8" t="inlineStr"/>
      <c r="B19" s="8" t="inlineStr"/>
      <c r="C19" s="8" t="inlineStr"/>
      <c r="D19" s="8" t="inlineStr"/>
    </row>
    <row r="20" ht="20" customHeight="1">
      <c r="A20" s="7" t="inlineStr"/>
      <c r="B20" s="7" t="inlineStr"/>
      <c r="C20" s="7" t="inlineStr"/>
      <c r="D20" s="7" t="inlineStr"/>
    </row>
    <row r="21" ht="20" customHeight="1">
      <c r="A21" s="8" t="inlineStr"/>
      <c r="B21" s="8" t="inlineStr"/>
      <c r="C21" s="8" t="inlineStr"/>
      <c r="D21" s="8" t="inlineStr"/>
    </row>
    <row r="22" ht="20" customHeight="1">
      <c r="A22" s="7" t="inlineStr"/>
      <c r="B22" s="7" t="inlineStr"/>
      <c r="C22" s="7" t="inlineStr"/>
      <c r="D22" s="7" t="inlineStr"/>
    </row>
    <row r="23" ht="20" customHeight="1">
      <c r="A23" s="8" t="inlineStr"/>
      <c r="B23" s="8" t="inlineStr"/>
      <c r="C23" s="8" t="inlineStr"/>
      <c r="D23" s="8" t="inlineStr"/>
    </row>
    <row r="24" ht="20" customHeight="1">
      <c r="A24" s="7" t="inlineStr"/>
      <c r="B24" s="7" t="inlineStr"/>
      <c r="C24" s="7" t="inlineStr"/>
      <c r="D24" s="7" t="inlineStr"/>
    </row>
    <row r="25" ht="20" customHeight="1">
      <c r="A25" s="8" t="inlineStr"/>
      <c r="B25" s="8" t="inlineStr"/>
      <c r="C25" s="8" t="inlineStr"/>
      <c r="D25" s="8" t="inlineStr"/>
    </row>
    <row r="26" ht="20" customHeight="1">
      <c r="A26" s="7" t="inlineStr"/>
      <c r="B26" s="7" t="inlineStr"/>
      <c r="C26" s="7" t="inlineStr"/>
      <c r="D26" s="7" t="inlineStr"/>
    </row>
    <row r="27" ht="20" customHeight="1">
      <c r="A27" s="8" t="inlineStr"/>
      <c r="B27" s="8" t="inlineStr"/>
      <c r="C27" s="8" t="inlineStr"/>
      <c r="D27" s="8" t="inlineStr"/>
    </row>
    <row r="28" ht="20" customHeight="1">
      <c r="A28" s="7" t="inlineStr"/>
      <c r="B28" s="7" t="inlineStr"/>
      <c r="C28" s="7" t="inlineStr"/>
      <c r="D28" s="7" t="inlineStr"/>
    </row>
    <row r="29" ht="20" customHeight="1">
      <c r="A29" s="8" t="inlineStr"/>
      <c r="B29" s="8" t="inlineStr"/>
      <c r="C29" s="8" t="inlineStr"/>
      <c r="D29" s="8" t="inlineStr"/>
    </row>
    <row r="30" ht="20" customHeight="1">
      <c r="A30" s="7" t="inlineStr"/>
      <c r="B30" s="7" t="inlineStr"/>
      <c r="C30" s="7" t="inlineStr"/>
      <c r="D30" s="7" t="inlineStr"/>
    </row>
    <row r="31" ht="20" customHeight="1">
      <c r="A31" s="8" t="inlineStr"/>
      <c r="B31" s="8" t="inlineStr"/>
      <c r="C31" s="8" t="inlineStr"/>
      <c r="D31" s="8" t="inlineStr"/>
    </row>
    <row r="32" ht="20" customHeight="1">
      <c r="A32" s="7" t="inlineStr"/>
      <c r="B32" s="7" t="inlineStr"/>
      <c r="C32" s="7" t="inlineStr"/>
      <c r="D32" s="7" t="inlineStr"/>
    </row>
    <row r="33" ht="20" customHeight="1">
      <c r="A33" s="8" t="inlineStr"/>
      <c r="B33" s="8" t="inlineStr"/>
      <c r="C33" s="8" t="inlineStr"/>
      <c r="D33" s="8" t="inlineStr"/>
    </row>
    <row r="34" ht="20" customHeight="1">
      <c r="A34" s="7" t="inlineStr"/>
      <c r="B34" s="7" t="inlineStr"/>
      <c r="C34" s="7" t="inlineStr"/>
      <c r="D34" s="7" t="inlineStr"/>
    </row>
    <row r="35" ht="20" customHeight="1">
      <c r="A35" s="8" t="inlineStr"/>
      <c r="B35" s="8" t="inlineStr"/>
      <c r="C35" s="8" t="inlineStr"/>
      <c r="D35" s="8" t="inlineStr"/>
    </row>
    <row r="36" ht="20" customHeight="1">
      <c r="A36" s="9" t="inlineStr">
        <is>
          <t>DESCRIPTIVE STATISTICS (auto-calculated)</t>
        </is>
      </c>
    </row>
    <row r="37" ht="28" customHeight="1">
      <c r="A37" s="10" t="inlineStr">
        <is>
          <t>Statistic</t>
        </is>
      </c>
      <c r="B37" s="10" t="inlineStr">
        <is>
          <t>Group A</t>
        </is>
      </c>
      <c r="C37" s="10" t="inlineStr">
        <is>
          <t>Group B</t>
        </is>
      </c>
      <c r="D37" s="10" t="inlineStr">
        <is>
          <t>Group C</t>
        </is>
      </c>
      <c r="E37" s="10" t="inlineStr">
        <is>
          <t>Group D</t>
        </is>
      </c>
    </row>
    <row r="38" ht="22" customHeight="1">
      <c r="A38" s="3" t="inlineStr">
        <is>
          <t>Count</t>
        </is>
      </c>
      <c r="B38" s="11">
        <f>IFERROR(COUNT(A6:A35),"")</f>
        <v/>
      </c>
      <c r="C38" s="12">
        <f>IFERROR(COUNT(B6:B35),"")</f>
        <v/>
      </c>
      <c r="D38" s="12">
        <f>IFERROR(COUNT(C6:C35),"")</f>
        <v/>
      </c>
      <c r="E38" s="12">
        <f>IFERROR(COUNT(D6:D35),"")</f>
        <v/>
      </c>
    </row>
    <row r="39" ht="22" customHeight="1">
      <c r="A39" s="3" t="inlineStr">
        <is>
          <t>Mean</t>
        </is>
      </c>
      <c r="B39" s="11">
        <f>IFERROR(AVERAGE(A6:A35),"")</f>
        <v/>
      </c>
      <c r="C39" s="12">
        <f>IFERROR(BVERBGE(B6:B35),"")</f>
        <v/>
      </c>
      <c r="D39" s="12">
        <f>IFERROR(CVERCGE(C6:C35),"")</f>
        <v/>
      </c>
      <c r="E39" s="12">
        <f>IFERROR(DVERDGE(D6:D35),"")</f>
        <v/>
      </c>
    </row>
    <row r="40" ht="22" customHeight="1">
      <c r="A40" s="3" t="inlineStr">
        <is>
          <t>Median</t>
        </is>
      </c>
      <c r="B40" s="11">
        <f>IFERROR(MEDIAN(A6:A35),"")</f>
        <v/>
      </c>
      <c r="C40" s="12">
        <f>IFERROR(MEDIBN(B6:B35),"")</f>
        <v/>
      </c>
      <c r="D40" s="12">
        <f>IFERROR(MEDICN(C6:C35),"")</f>
        <v/>
      </c>
      <c r="E40" s="12">
        <f>IFERROR(MEDIDN(D6:D35),"")</f>
        <v/>
      </c>
    </row>
    <row r="41" ht="22" customHeight="1">
      <c r="A41" s="3" t="inlineStr">
        <is>
          <t>Q1 (25th percentile)</t>
        </is>
      </c>
      <c r="B41" s="11">
        <f>IFERROR(QUARTILE(A6:A35,1),"")</f>
        <v/>
      </c>
      <c r="C41" s="12">
        <f>IFERROR(QUBRTILE(B6:B35,1),"")</f>
        <v/>
      </c>
      <c r="D41" s="12">
        <f>IFERROR(QUCRTILE(C6:C35,1),"")</f>
        <v/>
      </c>
      <c r="E41" s="12">
        <f>IFERROR(QUDRTILE(D6:D35,1),"")</f>
        <v/>
      </c>
    </row>
    <row r="42" ht="22" customHeight="1">
      <c r="A42" s="3" t="inlineStr">
        <is>
          <t>Q3 (75th percentile)</t>
        </is>
      </c>
      <c r="B42" s="11">
        <f>IFERROR(QUARTILE(A6:A35,3),"")</f>
        <v/>
      </c>
      <c r="C42" s="12">
        <f>IFERROR(QUBRTILE(B6:B35,3),"")</f>
        <v/>
      </c>
      <c r="D42" s="12">
        <f>IFERROR(QUCRTILE(C6:C35,3),"")</f>
        <v/>
      </c>
      <c r="E42" s="12">
        <f>IFERROR(QUDRTILE(D6:D35,3),"")</f>
        <v/>
      </c>
    </row>
    <row r="43" ht="22" customHeight="1">
      <c r="A43" s="3" t="inlineStr">
        <is>
          <t>IQR (Q3-Q1)</t>
        </is>
      </c>
      <c r="B43" s="11">
        <f>IFERROR(QUARTILE(A6:A35,3)-QUARTILE(A6:A35,1),"")</f>
        <v/>
      </c>
      <c r="C43" s="12">
        <f>IFERROR(QUBRTILE(B6:B35,3)-QUBRTILE(B6:B35,1),"")</f>
        <v/>
      </c>
      <c r="D43" s="12">
        <f>IFERROR(QUCRTILE(C6:C35,3)-QUCRTILE(C6:C35,1),"")</f>
        <v/>
      </c>
      <c r="E43" s="12">
        <f>IFERROR(QUDRTILE(D6:D35,3)-QUDRTILE(D6:D35,1),"")</f>
        <v/>
      </c>
    </row>
    <row r="44" ht="22" customHeight="1">
      <c r="A44" s="3" t="inlineStr">
        <is>
          <t>Min</t>
        </is>
      </c>
      <c r="B44" s="11">
        <f>IFERROR(MIN(A6:A35),"")</f>
        <v/>
      </c>
      <c r="C44" s="12">
        <f>IFERROR(MIN(B6:B35),"")</f>
        <v/>
      </c>
      <c r="D44" s="12">
        <f>IFERROR(MIN(C6:C35),"")</f>
        <v/>
      </c>
      <c r="E44" s="12">
        <f>IFERROR(MIN(D6:D35),"")</f>
        <v/>
      </c>
    </row>
    <row r="45" ht="22" customHeight="1">
      <c r="A45" s="3" t="inlineStr">
        <is>
          <t>Max</t>
        </is>
      </c>
      <c r="B45" s="11">
        <f>IFERROR(MAX(A6:A35),"")</f>
        <v/>
      </c>
      <c r="C45" s="12">
        <f>IFERROR(MBX(B6:B35),"")</f>
        <v/>
      </c>
      <c r="D45" s="12">
        <f>IFERROR(MCX(C6:C35),"")</f>
        <v/>
      </c>
      <c r="E45" s="12">
        <f>IFERROR(MDX(D6:D35),"")</f>
        <v/>
      </c>
    </row>
    <row r="46" ht="22" customHeight="1">
      <c r="A46" s="3" t="inlineStr">
        <is>
          <t>Std Dev</t>
        </is>
      </c>
      <c r="B46" s="11">
        <f>IFERROR(STDEV(A6:A35),"")</f>
        <v/>
      </c>
      <c r="C46" s="12">
        <f>IFERROR(STDEV(B6:B35),"")</f>
        <v/>
      </c>
      <c r="D46" s="12">
        <f>IFERROR(STDEV(C6:C35),"")</f>
        <v/>
      </c>
      <c r="E46" s="12">
        <f>IFERROR(STDEV(D6:D35),"")</f>
        <v/>
      </c>
    </row>
    <row r="47" ht="22" customHeight="1">
      <c r="A47" s="3" t="inlineStr">
        <is>
          <t>Outlier Lower Fence</t>
        </is>
      </c>
      <c r="B47" s="11">
        <f>IFERROR(QUARTILE(A6:A35,1)-1.5*(QUARTILE(A6:A35,3)-QUARTILE(A6:A35,1)),"")</f>
        <v/>
      </c>
      <c r="C47" s="12">
        <f>IFERROR(QUBRTILE(B6:B35,1)-1.5*(QUBRTILE(B6:B35,3)-QUBRTILE(B6:B35,1)),"")</f>
        <v/>
      </c>
      <c r="D47" s="12">
        <f>IFERROR(QUCRTILE(C6:C35,1)-1.5*(QUCRTILE(C6:C35,3)-QUCRTILE(C6:C35,1)),"")</f>
        <v/>
      </c>
      <c r="E47" s="12">
        <f>IFERROR(QUDRTILE(D6:D35,1)-1.5*(QUDRTILE(D6:D35,3)-QUDRTILE(D6:D35,1)),"")</f>
        <v/>
      </c>
    </row>
    <row r="48" ht="22" customHeight="1">
      <c r="A48" s="3" t="inlineStr">
        <is>
          <t>Outlier Upper Fence</t>
        </is>
      </c>
      <c r="B48" s="11">
        <f>IFERROR(QUARTILE(A6:A35,3)+1.5*(QUARTILE(A6:A35,3)-QUARTILE(A6:A35,1)),"")</f>
        <v/>
      </c>
      <c r="C48" s="12">
        <f>IFERROR(QUBRTILE(B6:B35,3)+1.5*(QUBRTILE(B6:B35,3)-QUBRTILE(B6:B35,1)),"")</f>
        <v/>
      </c>
      <c r="D48" s="12">
        <f>IFERROR(QUCRTILE(C6:C35,3)+1.5*(QUCRTILE(C6:C35,3)-QUCRTILE(C6:C35,1)),"")</f>
        <v/>
      </c>
      <c r="E48" s="12">
        <f>IFERROR(QUDRTILE(D6:D35,3)+1.5*(QUDRTILE(D6:D35,3)-QUDRTILE(D6:D35,1)),"")</f>
        <v/>
      </c>
    </row>
    <row r="50" ht="20" customHeight="1">
      <c r="A50" s="5" t="inlineStr">
        <is>
          <t>INTERPRETATION NOTES</t>
        </is>
      </c>
    </row>
    <row r="51" ht="22" customHeight="1">
      <c r="A51" s="13" t="inlineStr">
        <is>
          <t>What does the distribution tell us:</t>
        </is>
      </c>
      <c r="B51" s="14" t="inlineStr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</row>
    <row r="52" ht="22" customHeight="1">
      <c r="A52" s="13" t="inlineStr">
        <is>
          <t>Groups with significantly different spread:</t>
        </is>
      </c>
      <c r="B52" s="14" t="inlineStr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</row>
    <row r="53" ht="22" customHeight="1">
      <c r="A53" s="13" t="inlineStr">
        <is>
          <t>Outliers identified and explanation:</t>
        </is>
      </c>
      <c r="B53" s="14" t="inlineStr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</row>
    <row r="54" ht="22" customHeight="1">
      <c r="A54" s="13" t="inlineStr">
        <is>
          <t>Actionable insight:</t>
        </is>
      </c>
      <c r="B54" s="14" t="inlineStr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</row>
    <row r="55" ht="22" customHeight="1">
      <c r="A55" s="13" t="inlineStr">
        <is>
          <t>Next step:</t>
        </is>
      </c>
      <c r="B55" s="14" t="inlineStr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</row>
  </sheetData>
  <mergeCells count="10">
    <mergeCell ref="B53:L53"/>
    <mergeCell ref="A2:L2"/>
    <mergeCell ref="B52:L52"/>
    <mergeCell ref="B54:L54"/>
    <mergeCell ref="A1:L1"/>
    <mergeCell ref="B55:L55"/>
    <mergeCell ref="A36:L36"/>
    <mergeCell ref="B51:L51"/>
    <mergeCell ref="A50:L50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2026-06-16T12:28:55Z</dcterms:created>
  <dcterms:modified xmlns:dcterms="http://purl.org/dc/terms/" xmlns:xsi="http://www.w3.org/2001/XMLSchema-instance" xsi:type="dcterms:W3CDTF">2026-06-16T12:28:55Z</dcterms:modified>
</cp:coreProperties>
</file>