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ban System Design &amp;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8.5"/>
    </font>
    <font>
      <name val="Arial"/>
      <b val="1"/>
      <color rgb="00FFFFFF"/>
      <sz val="8.5"/>
    </font>
    <font>
      <name val="Arial"/>
      <b val="1"/>
      <color rgb="00375623"/>
      <sz val="11"/>
    </font>
    <font>
      <name val="Arial"/>
      <b val="1"/>
      <color rgb="00BA7517"/>
    </font>
    <font>
      <name val="Arial"/>
      <b val="1"/>
      <color rgb="00375623"/>
    </font>
  </fonts>
  <fills count="12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85041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0F6E56"/>
      </patternFill>
    </fill>
    <fill>
      <patternFill patternType="solid">
        <fgColor rgb="00F8F8F6"/>
      </patternFill>
    </fill>
    <fill>
      <patternFill patternType="solid">
        <fgColor rgb="00E2EFDA"/>
      </patternFill>
    </fill>
    <fill>
      <patternFill patternType="solid">
        <fgColor rgb="00FFF3D6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6E56"/>
    <outlinePr summaryBelow="1" summaryRight="1"/>
    <pageSetUpPr/>
  </sheetPr>
  <dimension ref="A1:L3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0" customWidth="1" min="4" max="4"/>
    <col width="14" customWidth="1" min="5" max="5"/>
    <col width="12" customWidth="1" min="6" max="6"/>
    <col width="14" customWidth="1" min="7" max="7"/>
    <col width="12" customWidth="1" min="8" max="8"/>
    <col width="16" customWidth="1" min="9" max="9"/>
  </cols>
  <sheetData>
    <row r="1" ht="34" customHeight="1">
      <c r="A1" s="1" t="inlineStr">
        <is>
          <t>Kanban System Design &amp; Tracker</t>
        </is>
      </c>
    </row>
    <row r="2" ht="15" customHeight="1">
      <c r="A2" s="2" t="inlineStr">
        <is>
          <t>Control inventory and workflow using visual signals that trigger replenishment only when needed</t>
        </is>
      </c>
    </row>
    <row r="3" ht="18" customHeight="1">
      <c r="A3" s="3" t="inlineStr">
        <is>
          <t>System Name:</t>
        </is>
      </c>
      <c r="B3" s="4" t="inlineStr"/>
      <c r="C3" s="4" t="inlineStr"/>
      <c r="D3" s="3" t="inlineStr">
        <is>
          <t>Area:</t>
        </is>
      </c>
      <c r="E3" s="4" t="inlineStr"/>
      <c r="F3" s="4" t="inlineStr"/>
      <c r="G3" s="3" t="inlineStr">
        <is>
          <t>Owner:</t>
        </is>
      </c>
      <c r="H3" s="4" t="inlineStr"/>
      <c r="I3" s="4" t="inlineStr"/>
      <c r="J3" s="3" t="inlineStr">
        <is>
          <t>Implemented:</t>
        </is>
      </c>
      <c r="K3" s="4" t="inlineStr"/>
      <c r="L3" s="4" t="inlineStr"/>
    </row>
    <row r="4" ht="20" customHeight="1">
      <c r="A4" s="5" t="inlineStr">
        <is>
          <t>KANBAN DESIGN</t>
        </is>
      </c>
    </row>
    <row r="5" ht="22" customHeight="1">
      <c r="A5" s="6" t="inlineStr">
        <is>
          <t>What is being controlled (parts, tasks, information):</t>
        </is>
      </c>
      <c r="B5" s="7" t="inlineStr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22" customHeight="1">
      <c r="A6" s="6" t="inlineStr">
        <is>
          <t>Pull trigger (what event triggers a Kanban card):</t>
        </is>
      </c>
      <c r="B6" s="7" t="inlineStr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 ht="22" customHeight="1">
      <c r="A7" s="6" t="inlineStr">
        <is>
          <t>Replenishment source (who fulfils the card):</t>
        </is>
      </c>
      <c r="B7" s="7" t="inlineStr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 ht="22" customHeight="1">
      <c r="A8" s="6" t="inlineStr">
        <is>
          <t>Signal type (physical card / e-Kanban / coloured bin):</t>
        </is>
      </c>
      <c r="B8" s="7" t="inlineStr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22" customHeight="1">
      <c r="A9" s="6" t="inlineStr">
        <is>
          <t>Review frequency:</t>
        </is>
      </c>
      <c r="B9" s="7" t="inlineStr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 ht="20" customHeight="1">
      <c r="A10" s="9" t="inlineStr">
        <is>
          <t>KANBAN SIZING CALCULATION</t>
        </is>
      </c>
    </row>
    <row r="11" ht="28" customHeight="1">
      <c r="A11" s="10" t="inlineStr">
        <is>
          <t>Number of Kanban cards = (Daily demand × Lead time + Safety stock) ÷ Container quantity</t>
        </is>
      </c>
    </row>
    <row r="12" ht="28" customHeight="1">
      <c r="A12" s="11" t="inlineStr">
        <is>
          <t>Part / Item</t>
        </is>
      </c>
      <c r="B12" s="11" t="inlineStr">
        <is>
          <t>Daily Demand</t>
        </is>
      </c>
      <c r="C12" s="11" t="inlineStr">
        <is>
          <t>Lead Time (days)</t>
        </is>
      </c>
      <c r="D12" s="11" t="inlineStr">
        <is>
          <t>Safety Stock</t>
        </is>
      </c>
      <c r="E12" s="11" t="inlineStr">
        <is>
          <t>Container Qty</t>
        </is>
      </c>
      <c r="F12" s="11" t="inlineStr">
        <is>
          <t># Kanbans</t>
        </is>
      </c>
      <c r="G12" s="11" t="inlineStr">
        <is>
          <t>Reorder Point</t>
        </is>
      </c>
      <c r="H12" s="11" t="inlineStr">
        <is>
          <t>Max Stock</t>
        </is>
      </c>
      <c r="I12" s="11" t="inlineStr">
        <is>
          <t>Review Date</t>
        </is>
      </c>
    </row>
    <row r="13" ht="22" customHeight="1">
      <c r="A13" s="12" t="inlineStr"/>
      <c r="B13" s="13" t="n">
        <v>10</v>
      </c>
      <c r="C13" s="13" t="n">
        <v>3</v>
      </c>
      <c r="D13" s="13" t="n">
        <v>5</v>
      </c>
      <c r="E13" s="13" t="n">
        <v>1</v>
      </c>
      <c r="F13" s="14">
        <f>CEILING((B13*C13+D13)/E13,1)</f>
        <v/>
      </c>
      <c r="G13" s="15">
        <f>B13*C13+D13</f>
        <v/>
      </c>
      <c r="H13" s="16">
        <f>F13*E13</f>
        <v/>
      </c>
      <c r="I13" s="17" t="inlineStr"/>
    </row>
    <row r="14" ht="22" customHeight="1">
      <c r="A14" s="18" t="inlineStr"/>
      <c r="B14" s="13" t="n">
        <v>10</v>
      </c>
      <c r="C14" s="13" t="n">
        <v>3</v>
      </c>
      <c r="D14" s="13" t="n">
        <v>5</v>
      </c>
      <c r="E14" s="13" t="n">
        <v>1</v>
      </c>
      <c r="F14" s="14">
        <f>CEILING((B14*C14+D14)/E14,1)</f>
        <v/>
      </c>
      <c r="G14" s="15">
        <f>B14*C14+D14</f>
        <v/>
      </c>
      <c r="H14" s="16">
        <f>F14*E14</f>
        <v/>
      </c>
      <c r="I14" s="19" t="inlineStr"/>
    </row>
    <row r="15" ht="22" customHeight="1">
      <c r="A15" s="12" t="inlineStr"/>
      <c r="B15" s="13" t="n">
        <v>10</v>
      </c>
      <c r="C15" s="13" t="n">
        <v>3</v>
      </c>
      <c r="D15" s="13" t="n">
        <v>5</v>
      </c>
      <c r="E15" s="13" t="n">
        <v>1</v>
      </c>
      <c r="F15" s="14">
        <f>CEILING((B15*C15+D15)/E15,1)</f>
        <v/>
      </c>
      <c r="G15" s="15">
        <f>B15*C15+D15</f>
        <v/>
      </c>
      <c r="H15" s="16">
        <f>F15*E15</f>
        <v/>
      </c>
      <c r="I15" s="17" t="inlineStr"/>
    </row>
    <row r="16" ht="22" customHeight="1">
      <c r="A16" s="18" t="inlineStr"/>
      <c r="B16" s="13" t="n">
        <v>10</v>
      </c>
      <c r="C16" s="13" t="n">
        <v>3</v>
      </c>
      <c r="D16" s="13" t="n">
        <v>5</v>
      </c>
      <c r="E16" s="13" t="n">
        <v>1</v>
      </c>
      <c r="F16" s="14">
        <f>CEILING((B16*C16+D16)/E16,1)</f>
        <v/>
      </c>
      <c r="G16" s="15">
        <f>B16*C16+D16</f>
        <v/>
      </c>
      <c r="H16" s="16">
        <f>F16*E16</f>
        <v/>
      </c>
      <c r="I16" s="19" t="inlineStr"/>
    </row>
    <row r="17" ht="22" customHeight="1">
      <c r="A17" s="12" t="inlineStr"/>
      <c r="B17" s="13" t="n">
        <v>10</v>
      </c>
      <c r="C17" s="13" t="n">
        <v>3</v>
      </c>
      <c r="D17" s="13" t="n">
        <v>5</v>
      </c>
      <c r="E17" s="13" t="n">
        <v>1</v>
      </c>
      <c r="F17" s="14">
        <f>CEILING((B17*C17+D17)/E17,1)</f>
        <v/>
      </c>
      <c r="G17" s="15">
        <f>B17*C17+D17</f>
        <v/>
      </c>
      <c r="H17" s="16">
        <f>F17*E17</f>
        <v/>
      </c>
      <c r="I17" s="17" t="inlineStr"/>
    </row>
    <row r="18" ht="22" customHeight="1">
      <c r="A18" s="18" t="inlineStr"/>
      <c r="B18" s="13" t="n">
        <v>10</v>
      </c>
      <c r="C18" s="13" t="n">
        <v>3</v>
      </c>
      <c r="D18" s="13" t="n">
        <v>5</v>
      </c>
      <c r="E18" s="13" t="n">
        <v>1</v>
      </c>
      <c r="F18" s="14">
        <f>CEILING((B18*C18+D18)/E18,1)</f>
        <v/>
      </c>
      <c r="G18" s="15">
        <f>B18*C18+D18</f>
        <v/>
      </c>
      <c r="H18" s="16">
        <f>F18*E18</f>
        <v/>
      </c>
      <c r="I18" s="19" t="inlineStr"/>
    </row>
    <row r="19" ht="22" customHeight="1">
      <c r="A19" s="12" t="inlineStr"/>
      <c r="B19" s="13" t="n">
        <v>10</v>
      </c>
      <c r="C19" s="13" t="n">
        <v>3</v>
      </c>
      <c r="D19" s="13" t="n">
        <v>5</v>
      </c>
      <c r="E19" s="13" t="n">
        <v>1</v>
      </c>
      <c r="F19" s="14">
        <f>CEILING((B19*C19+D19)/E19,1)</f>
        <v/>
      </c>
      <c r="G19" s="15">
        <f>B19*C19+D19</f>
        <v/>
      </c>
      <c r="H19" s="16">
        <f>F19*E19</f>
        <v/>
      </c>
      <c r="I19" s="17" t="inlineStr"/>
    </row>
    <row r="20" ht="22" customHeight="1">
      <c r="A20" s="18" t="inlineStr"/>
      <c r="B20" s="13" t="n">
        <v>10</v>
      </c>
      <c r="C20" s="13" t="n">
        <v>3</v>
      </c>
      <c r="D20" s="13" t="n">
        <v>5</v>
      </c>
      <c r="E20" s="13" t="n">
        <v>1</v>
      </c>
      <c r="F20" s="14">
        <f>CEILING((B20*C20+D20)/E20,1)</f>
        <v/>
      </c>
      <c r="G20" s="15">
        <f>B20*C20+D20</f>
        <v/>
      </c>
      <c r="H20" s="16">
        <f>F20*E20</f>
        <v/>
      </c>
      <c r="I20" s="19" t="inlineStr"/>
    </row>
    <row r="21" ht="22" customHeight="1">
      <c r="A21" s="12" t="inlineStr"/>
      <c r="B21" s="13" t="n">
        <v>10</v>
      </c>
      <c r="C21" s="13" t="n">
        <v>3</v>
      </c>
      <c r="D21" s="13" t="n">
        <v>5</v>
      </c>
      <c r="E21" s="13" t="n">
        <v>1</v>
      </c>
      <c r="F21" s="14">
        <f>CEILING((B21*C21+D21)/E21,1)</f>
        <v/>
      </c>
      <c r="G21" s="15">
        <f>B21*C21+D21</f>
        <v/>
      </c>
      <c r="H21" s="16">
        <f>F21*E21</f>
        <v/>
      </c>
      <c r="I21" s="17" t="inlineStr"/>
    </row>
    <row r="22" ht="22" customHeight="1">
      <c r="A22" s="18" t="inlineStr"/>
      <c r="B22" s="13" t="n">
        <v>10</v>
      </c>
      <c r="C22" s="13" t="n">
        <v>3</v>
      </c>
      <c r="D22" s="13" t="n">
        <v>5</v>
      </c>
      <c r="E22" s="13" t="n">
        <v>1</v>
      </c>
      <c r="F22" s="14">
        <f>CEILING((B22*C22+D22)/E22,1)</f>
        <v/>
      </c>
      <c r="G22" s="15">
        <f>B22*C22+D22</f>
        <v/>
      </c>
      <c r="H22" s="16">
        <f>F22*E22</f>
        <v/>
      </c>
      <c r="I22" s="19" t="inlineStr"/>
    </row>
    <row r="23" ht="20" customHeight="1">
      <c r="A23" s="5" t="inlineStr">
        <is>
          <t>KANBAN BOARD STATUS</t>
        </is>
      </c>
    </row>
    <row r="24" ht="28" customHeight="1">
      <c r="A24" s="20" t="inlineStr">
        <is>
          <t>Card #</t>
        </is>
      </c>
      <c r="B24" s="20" t="inlineStr">
        <is>
          <t>Item</t>
        </is>
      </c>
      <c r="C24" s="20" t="inlineStr">
        <is>
          <t>Status</t>
        </is>
      </c>
      <c r="D24" s="20" t="inlineStr">
        <is>
          <t>Quantity</t>
        </is>
      </c>
      <c r="E24" s="20" t="inlineStr">
        <is>
          <t>Location</t>
        </is>
      </c>
      <c r="F24" s="20" t="inlineStr">
        <is>
          <t>Signal Sent</t>
        </is>
      </c>
      <c r="G24" s="20" t="inlineStr">
        <is>
          <t>Replenishment Due</t>
        </is>
      </c>
      <c r="H24" s="20" t="inlineStr">
        <is>
          <t>Received</t>
        </is>
      </c>
      <c r="I24" s="20" t="inlineStr">
        <is>
          <t>Notes</t>
        </is>
      </c>
    </row>
    <row r="25" ht="22" customHeight="1">
      <c r="A25" s="12" t="inlineStr"/>
      <c r="B25" s="12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</row>
    <row r="26" ht="22" customHeight="1">
      <c r="A26" s="18" t="inlineStr"/>
      <c r="B26" s="18" t="inlineStr"/>
      <c r="C26" s="18" t="inlineStr"/>
      <c r="D26" s="18" t="inlineStr"/>
      <c r="E26" s="18" t="inlineStr"/>
      <c r="F26" s="18" t="inlineStr"/>
      <c r="G26" s="18" t="inlineStr"/>
      <c r="H26" s="18" t="inlineStr"/>
      <c r="I26" s="18" t="inlineStr"/>
    </row>
    <row r="27" ht="22" customHeight="1">
      <c r="A27" s="12" t="inlineStr"/>
      <c r="B27" s="12" t="inlineStr"/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</row>
    <row r="28" ht="22" customHeight="1">
      <c r="A28" s="18" t="inlineStr"/>
      <c r="B28" s="18" t="inlineStr"/>
      <c r="C28" s="18" t="inlineStr"/>
      <c r="D28" s="18" t="inlineStr"/>
      <c r="E28" s="18" t="inlineStr"/>
      <c r="F28" s="18" t="inlineStr"/>
      <c r="G28" s="18" t="inlineStr"/>
      <c r="H28" s="18" t="inlineStr"/>
      <c r="I28" s="18" t="inlineStr"/>
    </row>
    <row r="29" ht="22" customHeight="1">
      <c r="A29" s="12" t="inlineStr"/>
      <c r="B29" s="12" t="inlineStr"/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</row>
    <row r="30" ht="22" customHeight="1">
      <c r="A30" s="18" t="inlineStr"/>
      <c r="B30" s="18" t="inlineStr"/>
      <c r="C30" s="18" t="inlineStr"/>
      <c r="D30" s="18" t="inlineStr"/>
      <c r="E30" s="18" t="inlineStr"/>
      <c r="F30" s="18" t="inlineStr"/>
      <c r="G30" s="18" t="inlineStr"/>
      <c r="H30" s="18" t="inlineStr"/>
      <c r="I30" s="18" t="inlineStr"/>
    </row>
    <row r="31" ht="22" customHeight="1">
      <c r="A31" s="12" t="inlineStr"/>
      <c r="B31" s="12" t="inlineStr"/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</row>
    <row r="32" ht="22" customHeight="1">
      <c r="A32" s="18" t="inlineStr"/>
      <c r="B32" s="18" t="inlineStr"/>
      <c r="C32" s="18" t="inlineStr"/>
      <c r="D32" s="18" t="inlineStr"/>
      <c r="E32" s="18" t="inlineStr"/>
      <c r="F32" s="18" t="inlineStr"/>
      <c r="G32" s="18" t="inlineStr"/>
      <c r="H32" s="18" t="inlineStr"/>
      <c r="I32" s="18" t="inlineStr"/>
    </row>
    <row r="33" ht="22" customHeight="1">
      <c r="A33" s="12" t="inlineStr"/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</row>
    <row r="34" ht="22" customHeight="1">
      <c r="A34" s="18" t="inlineStr"/>
      <c r="B34" s="18" t="inlineStr"/>
      <c r="C34" s="18" t="inlineStr"/>
      <c r="D34" s="18" t="inlineStr"/>
      <c r="E34" s="18" t="inlineStr"/>
      <c r="F34" s="18" t="inlineStr"/>
      <c r="G34" s="18" t="inlineStr"/>
      <c r="H34" s="18" t="inlineStr"/>
      <c r="I34" s="18" t="inlineStr"/>
    </row>
    <row r="35" ht="22" customHeight="1">
      <c r="A35" s="12" t="inlineStr"/>
      <c r="B35" s="12" t="inlineStr"/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</row>
    <row r="36" ht="22" customHeight="1">
      <c r="A36" s="18" t="inlineStr"/>
      <c r="B36" s="18" t="inlineStr"/>
      <c r="C36" s="18" t="inlineStr"/>
      <c r="D36" s="18" t="inlineStr"/>
      <c r="E36" s="18" t="inlineStr"/>
      <c r="F36" s="18" t="inlineStr"/>
      <c r="G36" s="18" t="inlineStr"/>
      <c r="H36" s="18" t="inlineStr"/>
      <c r="I36" s="18" t="inlineStr"/>
    </row>
    <row r="37" ht="22" customHeight="1">
      <c r="A37" s="12" t="inlineStr"/>
      <c r="B37" s="12" t="inlineStr"/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</row>
    <row r="38" ht="22" customHeight="1">
      <c r="A38" s="18" t="inlineStr"/>
      <c r="B38" s="18" t="inlineStr"/>
      <c r="C38" s="18" t="inlineStr"/>
      <c r="D38" s="18" t="inlineStr"/>
      <c r="E38" s="18" t="inlineStr"/>
      <c r="F38" s="18" t="inlineStr"/>
      <c r="G38" s="18" t="inlineStr"/>
      <c r="H38" s="18" t="inlineStr"/>
      <c r="I38" s="18" t="inlineStr"/>
    </row>
    <row r="39" ht="22" customHeight="1">
      <c r="A39" s="12" t="inlineStr"/>
      <c r="B39" s="12" t="inlineStr"/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</row>
  </sheetData>
  <mergeCells count="11">
    <mergeCell ref="A2:L2"/>
    <mergeCell ref="A10:L10"/>
    <mergeCell ref="B6:L6"/>
    <mergeCell ref="A11:L11"/>
    <mergeCell ref="B7:L7"/>
    <mergeCell ref="A1:L1"/>
    <mergeCell ref="A23:L23"/>
    <mergeCell ref="B5:L5"/>
    <mergeCell ref="B9:L9"/>
    <mergeCell ref="A4:L4"/>
    <mergeCell ref="B8:L8"/>
  </mergeCells>
  <dataValidations count="1">
    <dataValidation sqref="C25 C26 C27 C28 C29 C30 C31 C32 C33 C34 C35 C36 C37 C38 C39" showDropDown="0" showInputMessage="0" showErrorMessage="0" allowBlank="0" type="list">
      <formula1>"Full — hold,Triggered — signal sent,In transit,Received — refilling,Empty — urgent"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2026-06-16T12:28:54Z</dcterms:created>
  <dcterms:modified xmlns:dcterms="http://purl.org/dc/terms/" xmlns:xsi="http://www.w3.org/2001/XMLSchema-instance" xsi:type="dcterms:W3CDTF">2026-06-16T12:28:54Z</dcterms:modified>
</cp:coreProperties>
</file>